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2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ddles/Desktop/AutoInventory-main/"/>
    </mc:Choice>
  </mc:AlternateContent>
  <xr:revisionPtr revIDLastSave="0" documentId="13_ncr:1_{CCA4E6AD-7B23-C54F-B743-7952B9C147A6}" xr6:coauthVersionLast="47" xr6:coauthVersionMax="47" xr10:uidLastSave="{00000000-0000-0000-0000-000000000000}"/>
  <bookViews>
    <workbookView xWindow="0" yWindow="500" windowWidth="38400" windowHeight="20240" activeTab="3" xr2:uid="{00000000-000D-0000-FFFF-FFFF00000000}"/>
  </bookViews>
  <sheets>
    <sheet name="CSV" sheetId="2" r:id="rId1"/>
    <sheet name="TF" sheetId="4" r:id="rId2"/>
    <sheet name="WO" sheetId="5" r:id="rId3"/>
    <sheet name="BAR" sheetId="1" r:id="rId4"/>
    <sheet name="StoreShort" sheetId="3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am24">[1]GIAVLIEU!$M$51</definedName>
    <definedName name="_xlnm._FilterDatabase" localSheetId="3" hidden="1">BAR!$A$4:$I$156</definedName>
    <definedName name="_GID1">'[2]LKVL-CK-HT-GD1'!$A$4</definedName>
    <definedName name="_KH2">'[3]C. Code'!$A$1:$E$65536</definedName>
    <definedName name="_Order1" hidden="1">255</definedName>
    <definedName name="_Order2" hidden="1">255</definedName>
    <definedName name="BLDG">[4]LEGEND!$D$8</definedName>
    <definedName name="BTC">'[5]Phan tho'!$J$10</definedName>
    <definedName name="CABLE2">'[6]MTO REV.0'!$A$1:$Q$570</definedName>
    <definedName name="cddd1p">'[2]TONG HOP VL-NC'!$C$3</definedName>
    <definedName name="cddd3p">'[2]TONG HOP VL-NC'!$C$2</definedName>
    <definedName name="CLIENT">[4]LEGEND!$D$6</definedName>
    <definedName name="CLVC">'[7]CHITIET VL-NC-TT1p'!$D$4</definedName>
    <definedName name="clvc1">[2]chitiet!$D$3</definedName>
    <definedName name="CLVC3">0.1</definedName>
    <definedName name="CN3p">'[2]TONGKE3p '!$X$295</definedName>
    <definedName name="Code">'[8]Item Code'!$A$3:$C$16389</definedName>
    <definedName name="Cot_thep">[9]Du_lieu!$C$19</definedName>
    <definedName name="CPVC1KM">'[2]TH VL, NC, DDHT Thanhphuoc'!$J$19</definedName>
    <definedName name="cv">[10]gvl!$N$17</definedName>
    <definedName name="DataFilter" localSheetId="3">[11]!DataFilter</definedName>
    <definedName name="DataFilter">[11]!DataFilter</definedName>
    <definedName name="DataSort" localSheetId="3">[11]!DataSort</definedName>
    <definedName name="DataSort">[11]!DataSort</definedName>
    <definedName name="DataYear2001">'[12]Data-year2001i'!$B$7:$L$426</definedName>
    <definedName name="dd1pnc">[2]chitiet!$G$404</definedName>
    <definedName name="dd1pvl">[2]chitiet!$G$383</definedName>
    <definedName name="dd1x2">[10]gvl!$N$9</definedName>
    <definedName name="DGM">[2]DONGIA!$A$453:$F$459</definedName>
    <definedName name="DGTH1">[2]DONGIA!$A$414:$G$452</definedName>
    <definedName name="dgth2">[2]DONGIA!$A$414:$G$439</definedName>
    <definedName name="DGTR">[2]DONGIA!$A$472:$I$521</definedName>
    <definedName name="DGVL1">[2]DONGIA!$A$5:$F$235</definedName>
    <definedName name="DGVT">'[2]DON GIA'!$C$5:$G$137</definedName>
    <definedName name="dobgd">[13]BGD!$B$14:$F$17</definedName>
    <definedName name="Document_array">{"Book1"}</definedName>
    <definedName name="dofinbo6t">'[12]Tien Thuong'!$B$6:$I$432</definedName>
    <definedName name="dofinbonus6t">'[12]Tien Thuong'!$A$1:$I$432</definedName>
    <definedName name="dokcs">[13]KCS!$B$10:$H$45</definedName>
    <definedName name="dokd">[13]KD!$B$9:$K$39</definedName>
    <definedName name="dokh">[13]KH!$B$11:$K$33</definedName>
    <definedName name="dokt">[13]KT!$B$15:$H$19</definedName>
    <definedName name="doktnl">[13]KTNL!$B$11:$H$41</definedName>
    <definedName name="doncxlcn2001">'[12]NC XL 6T cuoi 01 CTy'!$B$6:$Q$487</definedName>
    <definedName name="doncxldn2001">'[12]Data -6T dau'!$B$6:$F$309</definedName>
    <definedName name="dongia">[2]DG!$A$4:$I$567</definedName>
    <definedName name="dongia1">[2]DG!$A$4:$H$606</definedName>
    <definedName name="dopxsx">'[13]PX-SX'!$B$23:$H$171</definedName>
    <definedName name="dotc">[13]TC!$B$10:$H$38</definedName>
    <definedName name="dotchc">'[12]Tien Thuong'!$A$6:$K$31</definedName>
    <definedName name="dotdn">[13]KH!$B$56:$K$69</definedName>
    <definedName name="dottchc">'[12]Tien Thuong'!$A$6:$K$31</definedName>
    <definedName name="doxcd">'[13]Lcau - Lxuc'!$B$15:$M$33</definedName>
    <definedName name="FinTT">'[14]DS-Thuong 6T dau'!$B$10:$I$440</definedName>
    <definedName name="FinXL">'[12]NC XL 6T cuoi 01 CTy'!$R$6:$S$9</definedName>
    <definedName name="G_C">[15]Sum!$F$2</definedName>
    <definedName name="gamatc">'[16]DO AM DT'!$AD$84</definedName>
    <definedName name="gcm">'[17]gia vt,nc,may'!$H$7:$I$17</definedName>
    <definedName name="gnc">'[17]gia vt,nc,may'!$E$7:$F$12</definedName>
    <definedName name="go">[1]GIAVLIEU!$M$70</definedName>
    <definedName name="GoBack" localSheetId="3">[11]KLHT!GoBack</definedName>
    <definedName name="GoBack">[11]KLHT!GoBack</definedName>
    <definedName name="goi">[1]GIAVLIEU!$M$67</definedName>
    <definedName name="gvt">'[17]gia vt,nc,may'!$B$7:$C$159</definedName>
    <definedName name="Heä_soá_laép_xaø_H">1.7</definedName>
    <definedName name="HSCT3">0.1</definedName>
    <definedName name="HSDC">'[7]CHITIET VL-NC-TT1p'!$G$6</definedName>
    <definedName name="HSDN">2.5</definedName>
    <definedName name="HSKD">'[7]CHITIET VL-NC-TT1p'!$G$7</definedName>
    <definedName name="HSKK">[18]BETON!$D$5</definedName>
    <definedName name="hskk1">[2]chitiet!$D$4</definedName>
    <definedName name="HSLXH">1.7</definedName>
    <definedName name="HSNC">[9]Du_lieu!$C$6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Tthang10">{"Book1"}</definedName>
    <definedName name="KH">'[19]C. Code'!$A$2:$F$65536</definedName>
    <definedName name="KL_C">[15]Sum!$F$1</definedName>
    <definedName name="KM">'[8]Code KM'!$A$3:$D$65536</definedName>
    <definedName name="Land">[20]LE!$U$19:$Z$119</definedName>
    <definedName name="LOCATION">[4]LEGEND!$D$7</definedName>
    <definedName name="months">[21]Assumption!$W$10</definedName>
    <definedName name="MTCHC">[2]TNHCHINH!$K$38</definedName>
    <definedName name="n">'[16]DO AM DT'!$G$102</definedName>
    <definedName name="N1IN">'[2]TONGKE3p '!$U$295</definedName>
    <definedName name="nam">{"Book1"}</definedName>
    <definedName name="NCHC">[2]TNHCHINH!$J$38</definedName>
    <definedName name="NCXL">'[12]Cong 6T'!$M$6:$M$31</definedName>
    <definedName name="ngoclan210779">{"Book1"}</definedName>
    <definedName name="NIG13p">'[2]TONGKE3p '!$T$295</definedName>
    <definedName name="nignc3p">'[2]CHITIET VL-NC'!$G$107</definedName>
    <definedName name="nigvl3p">'[2]CHITIET VL-NC'!$G$99</definedName>
    <definedName name="nlvl1">[2]chitiet!$G$302</definedName>
    <definedName name="none">'[12]Tien Thuong'!$A$6:$K$31</definedName>
    <definedName name="nuoc">[10]gvl!$N$38</definedName>
    <definedName name="P1L">[22]P1!$K$9:$K$3000</definedName>
    <definedName name="P1NU">[22]P1!$C$9:$C$3000=1</definedName>
    <definedName name="P1P">[22]P1!$Q$9:$Q$3000</definedName>
    <definedName name="P1T">[22]P1!$D$9:$D$3000</definedName>
    <definedName name="Parem">[23]Parem!$A$4:$C$22</definedName>
    <definedName name="paremÞ">'[24]Sat tron'!$A$3:$C$21</definedName>
    <definedName name="PK">[25]DATA!$C$6:$P$119</definedName>
    <definedName name="PM">[26]IBASE!$AH$16:$AV$110</definedName>
    <definedName name="_xlnm.Print_Area" localSheetId="3">BAR!$A$1:$I$156</definedName>
    <definedName name="_xlnm.Print_Area">#REF!</definedName>
    <definedName name="Print_Area_MI">[27]ESTI.!$A$1:$U$52</definedName>
    <definedName name="_xlnm.Print_Titles" localSheetId="3">BAR!$4:$4</definedName>
    <definedName name="_xlnm.Print_Titles">#N/A</definedName>
    <definedName name="PROJ">[4]LEGEND!$D$4</definedName>
    <definedName name="PTNC">'[2]DON GIA'!$G$227</definedName>
    <definedName name="qweqwe213">{0}</definedName>
    <definedName name="SB">[26]IBASE!$AH$7:$AL$14</definedName>
    <definedName name="sensebills">[21]IRR!$V$37</definedName>
    <definedName name="senseprice">[21]IRR!$V$39</definedName>
    <definedName name="SORT_AREA">'[27]DI-ESTI'!$A$8:$R$489</definedName>
    <definedName name="SumXL">'[12]NC XL 6T cuoi 01 CTy'!$N$6:$N$486</definedName>
    <definedName name="swbillrev">[21]Assumption!$H$17</definedName>
    <definedName name="swbills">[21]Assumption!$H$23</definedName>
    <definedName name="swcapacity">[21]Capacity!$F$8</definedName>
    <definedName name="t12nc3p">'[2]CHITIET VL-NC'!$G$38</definedName>
    <definedName name="t12vl3p">'[2]CHITIET VL-NC'!$G$34</definedName>
    <definedName name="tablesales">[28]Capacity!$D$10:$O$13</definedName>
    <definedName name="tb">'[16]DO AM DT'!$B$100</definedName>
    <definedName name="tdnc3p">'[2]CHITIET VL-NC'!$G$28</definedName>
    <definedName name="tdvl3p">'[2]CHITIET VL-NC'!$G$23</definedName>
    <definedName name="thang10">{"Book1"}</definedName>
    <definedName name="theph">[1]GIAVLIEU!$M$41</definedName>
    <definedName name="thue1">'[29]C. Code'!$A$2:$G$314</definedName>
    <definedName name="Thue5">[30]Code!$A$2:$H$33</definedName>
    <definedName name="Tiepdia">[2]Tiepdia!$A$1:$IV$65536</definedName>
    <definedName name="TKYB">"TKYB"</definedName>
    <definedName name="ton">'[16]DO AM DT'!$AC$84</definedName>
    <definedName name="TONGKHOILUONG">'[31]PTVT (MAU)'!$G$9:$G$2662</definedName>
    <definedName name="TONGVATTU">'[31]PTVT (MAU)'!$C$9:$C$2662</definedName>
    <definedName name="TTDD">[2]TDTKP!$E$44+[2]TDTKP!$F$44+[2]TDTKP!$G$44</definedName>
    <definedName name="TTK3p">'[2]TONGKE3p '!$C$295</definedName>
    <definedName name="VCVBT1">'[2]VCV-BE-TONG'!$G$11</definedName>
    <definedName name="VCVBT2">'[2]VCV-BE-TONG'!$G$17</definedName>
    <definedName name="VLHC">[2]TNHCHINH!$I$38</definedName>
    <definedName name="Water">[20]LE!$W$14:$Z$17</definedName>
    <definedName name="XCCT">0.5</definedName>
    <definedName name="xfconc3p">'[2]CHITIET VL-NC'!$G$94</definedName>
    <definedName name="xfcovl3p">'[2]CHITIET VL-NC'!$G$90</definedName>
    <definedName name="xiggnc">'[2]CHITIET VL-NC'!$G$57</definedName>
    <definedName name="xiggvl">'[2]CHITIET VL-NC'!$G$53</definedName>
    <definedName name="xin190nc3p">'[2]CHITIET VL-NC'!$G$76</definedName>
    <definedName name="xin190vl3p">'[2]CHITIET VL-NC'!$G$72</definedName>
    <definedName name="xindnc3p">'[2]CHITIET VL-NC'!$G$85</definedName>
    <definedName name="xindvl3p">'[2]CHITIET VL-NC'!$G$80</definedName>
    <definedName name="xittnc">'[2]CHITIET VL-NC'!$G$48</definedName>
    <definedName name="xittvl">'[2]CHITIET VL-NC'!$G$44</definedName>
    <definedName name="xm">[10]gvl!$N$16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0" i="5" l="1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A300" i="5" a="1"/>
  <c r="A300" i="5" s="1"/>
  <c r="A299" i="5" a="1"/>
  <c r="A299" i="5" s="1"/>
  <c r="A298" i="5" a="1"/>
  <c r="A298" i="5" s="1"/>
  <c r="A297" i="5" a="1"/>
  <c r="A297" i="5" s="1"/>
  <c r="A296" i="5" a="1"/>
  <c r="A296" i="5" s="1"/>
  <c r="A295" i="5" a="1"/>
  <c r="A295" i="5" s="1"/>
  <c r="A294" i="5" a="1"/>
  <c r="A294" i="5" s="1"/>
  <c r="A293" i="5" a="1"/>
  <c r="A293" i="5" s="1"/>
  <c r="A292" i="5" a="1"/>
  <c r="A292" i="5" s="1"/>
  <c r="A291" i="5" a="1"/>
  <c r="A291" i="5" s="1"/>
  <c r="A290" i="5" a="1"/>
  <c r="A290" i="5" s="1"/>
  <c r="A289" i="5" a="1"/>
  <c r="A289" i="5" s="1"/>
  <c r="A288" i="5" a="1"/>
  <c r="A288" i="5" s="1"/>
  <c r="A287" i="5" a="1"/>
  <c r="A287" i="5" s="1"/>
  <c r="A286" i="5" a="1"/>
  <c r="A286" i="5" s="1"/>
  <c r="A285" i="5" a="1"/>
  <c r="A285" i="5" s="1"/>
  <c r="A284" i="5" a="1"/>
  <c r="A284" i="5" s="1"/>
  <c r="A283" i="5" a="1"/>
  <c r="A283" i="5" s="1"/>
  <c r="A282" i="5" a="1"/>
  <c r="A282" i="5" s="1"/>
  <c r="A281" i="5" a="1"/>
  <c r="A281" i="5" s="1"/>
  <c r="A280" i="5" a="1"/>
  <c r="A280" i="5" s="1"/>
  <c r="A279" i="5" a="1"/>
  <c r="A279" i="5" s="1"/>
  <c r="A278" i="5" a="1"/>
  <c r="A278" i="5" s="1"/>
  <c r="A277" i="5" a="1"/>
  <c r="A277" i="5" s="1"/>
  <c r="A276" i="5" a="1"/>
  <c r="A276" i="5" s="1"/>
  <c r="A275" i="5" a="1"/>
  <c r="A275" i="5" s="1"/>
  <c r="A274" i="5" a="1"/>
  <c r="A274" i="5" s="1"/>
  <c r="A273" i="5" a="1"/>
  <c r="A273" i="5" s="1"/>
  <c r="A272" i="5" a="1"/>
  <c r="A272" i="5" s="1"/>
  <c r="A271" i="5" a="1"/>
  <c r="A271" i="5" s="1"/>
  <c r="A270" i="5" a="1"/>
  <c r="A270" i="5" s="1"/>
  <c r="A269" i="5" a="1"/>
  <c r="A269" i="5" s="1"/>
  <c r="A268" i="5" a="1"/>
  <c r="A268" i="5" s="1"/>
  <c r="A267" i="5" a="1"/>
  <c r="A267" i="5" s="1"/>
  <c r="A266" i="5" a="1"/>
  <c r="A266" i="5" s="1"/>
  <c r="A265" i="5" a="1"/>
  <c r="A265" i="5" s="1"/>
  <c r="A264" i="5" a="1"/>
  <c r="A264" i="5" s="1"/>
  <c r="A263" i="5" a="1"/>
  <c r="A263" i="5" s="1"/>
  <c r="A262" i="5" a="1"/>
  <c r="A262" i="5" s="1"/>
  <c r="A261" i="5" a="1"/>
  <c r="A261" i="5" s="1"/>
  <c r="A260" i="5" a="1"/>
  <c r="A260" i="5" s="1"/>
  <c r="A259" i="5" a="1"/>
  <c r="A259" i="5" s="1"/>
  <c r="A258" i="5" a="1"/>
  <c r="A258" i="5" s="1"/>
  <c r="A257" i="5" a="1"/>
  <c r="A257" i="5" s="1"/>
  <c r="A256" i="5" a="1"/>
  <c r="A256" i="5" s="1"/>
  <c r="A255" i="5" a="1"/>
  <c r="A255" i="5" s="1"/>
  <c r="A254" i="5" a="1"/>
  <c r="A254" i="5" s="1"/>
  <c r="A253" i="5" a="1"/>
  <c r="A253" i="5" s="1"/>
  <c r="A252" i="5" a="1"/>
  <c r="A252" i="5" s="1"/>
  <c r="A251" i="5" a="1"/>
  <c r="A251" i="5" s="1"/>
  <c r="A250" i="5" a="1"/>
  <c r="A250" i="5" s="1"/>
  <c r="A249" i="5" a="1"/>
  <c r="A249" i="5" s="1"/>
  <c r="A248" i="5" a="1"/>
  <c r="A248" i="5" s="1"/>
  <c r="A247" i="5" a="1"/>
  <c r="A247" i="5" s="1"/>
  <c r="A246" i="5" a="1"/>
  <c r="A246" i="5" s="1"/>
  <c r="A245" i="5" a="1"/>
  <c r="A245" i="5" s="1"/>
  <c r="A244" i="5" a="1"/>
  <c r="A244" i="5" s="1"/>
  <c r="A243" i="5" a="1"/>
  <c r="A243" i="5" s="1"/>
  <c r="A242" i="5" a="1"/>
  <c r="A242" i="5" s="1"/>
  <c r="A241" i="5" a="1"/>
  <c r="A241" i="5" s="1"/>
  <c r="A240" i="5" a="1"/>
  <c r="A240" i="5" s="1"/>
  <c r="A239" i="5" a="1"/>
  <c r="A239" i="5" s="1"/>
  <c r="A238" i="5" a="1"/>
  <c r="A238" i="5" s="1"/>
  <c r="A237" i="5" a="1"/>
  <c r="A237" i="5" s="1"/>
  <c r="A236" i="5" a="1"/>
  <c r="A236" i="5" s="1"/>
  <c r="A235" i="5" a="1"/>
  <c r="A235" i="5" s="1"/>
  <c r="A234" i="5" a="1"/>
  <c r="A234" i="5" s="1"/>
  <c r="A233" i="5" a="1"/>
  <c r="A233" i="5" s="1"/>
  <c r="A232" i="5" a="1"/>
  <c r="A232" i="5" s="1"/>
  <c r="A231" i="5" a="1"/>
  <c r="A231" i="5" s="1"/>
  <c r="A230" i="5" a="1"/>
  <c r="A230" i="5" s="1"/>
  <c r="A229" i="5" a="1"/>
  <c r="A229" i="5" s="1"/>
  <c r="A228" i="5" a="1"/>
  <c r="A228" i="5" s="1"/>
  <c r="A227" i="5" a="1"/>
  <c r="A227" i="5" s="1"/>
  <c r="A226" i="5" a="1"/>
  <c r="A226" i="5" s="1"/>
  <c r="A225" i="5" a="1"/>
  <c r="A225" i="5" s="1"/>
  <c r="A224" i="5" a="1"/>
  <c r="A224" i="5" s="1"/>
  <c r="A223" i="5" a="1"/>
  <c r="A223" i="5" s="1"/>
  <c r="A222" i="5" a="1"/>
  <c r="A222" i="5" s="1"/>
  <c r="A221" i="5" a="1"/>
  <c r="A221" i="5" s="1"/>
  <c r="A220" i="5" a="1"/>
  <c r="A220" i="5" s="1"/>
  <c r="A219" i="5" a="1"/>
  <c r="A219" i="5" s="1"/>
  <c r="A218" i="5" a="1"/>
  <c r="A218" i="5" s="1"/>
  <c r="A217" i="5" a="1"/>
  <c r="A217" i="5" s="1"/>
  <c r="A216" i="5" a="1"/>
  <c r="A216" i="5" s="1"/>
  <c r="A215" i="5" a="1"/>
  <c r="A215" i="5" s="1"/>
  <c r="A214" i="5" a="1"/>
  <c r="A214" i="5" s="1"/>
  <c r="A213" i="5" a="1"/>
  <c r="A213" i="5" s="1"/>
  <c r="A212" i="5" a="1"/>
  <c r="A212" i="5" s="1"/>
  <c r="A211" i="5" a="1"/>
  <c r="A211" i="5" s="1"/>
  <c r="A210" i="5" a="1"/>
  <c r="A210" i="5" s="1"/>
  <c r="A209" i="5" a="1"/>
  <c r="A209" i="5" s="1"/>
  <c r="A208" i="5" a="1"/>
  <c r="A208" i="5" s="1"/>
  <c r="A207" i="5" a="1"/>
  <c r="A207" i="5" s="1"/>
  <c r="A206" i="5" a="1"/>
  <c r="A206" i="5" s="1"/>
  <c r="A205" i="5" a="1"/>
  <c r="A205" i="5" s="1"/>
  <c r="A204" i="5" a="1"/>
  <c r="A204" i="5" s="1"/>
  <c r="A203" i="5" a="1"/>
  <c r="A203" i="5" s="1"/>
  <c r="A202" i="5" a="1"/>
  <c r="A202" i="5" s="1"/>
  <c r="A201" i="5" a="1"/>
  <c r="A201" i="5" s="1"/>
  <c r="A200" i="5" a="1"/>
  <c r="A200" i="5" s="1"/>
  <c r="A199" i="5" a="1"/>
  <c r="A199" i="5" s="1"/>
  <c r="A198" i="5" a="1"/>
  <c r="A198" i="5" s="1"/>
  <c r="A197" i="5" a="1"/>
  <c r="A197" i="5" s="1"/>
  <c r="A196" i="5" a="1"/>
  <c r="A196" i="5" s="1"/>
  <c r="A195" i="5" a="1"/>
  <c r="A195" i="5" s="1"/>
  <c r="A194" i="5" a="1"/>
  <c r="A194" i="5" s="1"/>
  <c r="A193" i="5" a="1"/>
  <c r="A193" i="5" s="1"/>
  <c r="A192" i="5" a="1"/>
  <c r="A192" i="5" s="1"/>
  <c r="A191" i="5" a="1"/>
  <c r="A191" i="5" s="1"/>
  <c r="A190" i="5" a="1"/>
  <c r="A190" i="5" s="1"/>
  <c r="A189" i="5" a="1"/>
  <c r="A189" i="5" s="1"/>
  <c r="A188" i="5" a="1"/>
  <c r="A188" i="5" s="1"/>
  <c r="A187" i="5" a="1"/>
  <c r="A187" i="5" s="1"/>
  <c r="A186" i="5" a="1"/>
  <c r="A186" i="5" s="1"/>
  <c r="A185" i="5" a="1"/>
  <c r="A185" i="5" s="1"/>
  <c r="A184" i="5" a="1"/>
  <c r="A184" i="5" s="1"/>
  <c r="A183" i="5" a="1"/>
  <c r="A183" i="5" s="1"/>
  <c r="A182" i="5" a="1"/>
  <c r="A182" i="5" s="1"/>
  <c r="A181" i="5" a="1"/>
  <c r="A181" i="5" s="1"/>
  <c r="A180" i="5" a="1"/>
  <c r="A180" i="5" s="1"/>
  <c r="A179" i="5" a="1"/>
  <c r="A179" i="5" s="1"/>
  <c r="A178" i="5" a="1"/>
  <c r="A178" i="5" s="1"/>
  <c r="A177" i="5" a="1"/>
  <c r="A177" i="5" s="1"/>
  <c r="A176" i="5" a="1"/>
  <c r="A176" i="5" s="1"/>
  <c r="A175" i="5" a="1"/>
  <c r="A175" i="5" s="1"/>
  <c r="A174" i="5" a="1"/>
  <c r="A174" i="5" s="1"/>
  <c r="A173" i="5" a="1"/>
  <c r="A173" i="5" s="1"/>
  <c r="A172" i="5" a="1"/>
  <c r="A172" i="5" s="1"/>
  <c r="A171" i="5" a="1"/>
  <c r="A171" i="5" s="1"/>
  <c r="A170" i="5" a="1"/>
  <c r="A170" i="5" s="1"/>
  <c r="A169" i="5" a="1"/>
  <c r="A169" i="5" s="1"/>
  <c r="A168" i="5" a="1"/>
  <c r="A168" i="5" s="1"/>
  <c r="A167" i="5" a="1"/>
  <c r="A167" i="5" s="1"/>
  <c r="A166" i="5" a="1"/>
  <c r="A166" i="5" s="1"/>
  <c r="A165" i="5" a="1"/>
  <c r="A165" i="5" s="1"/>
  <c r="A164" i="5" a="1"/>
  <c r="A164" i="5" s="1"/>
  <c r="A163" i="5" a="1"/>
  <c r="A163" i="5" s="1"/>
  <c r="A162" i="5" a="1"/>
  <c r="A162" i="5" s="1"/>
  <c r="A161" i="5" a="1"/>
  <c r="A161" i="5" s="1"/>
  <c r="A160" i="5" a="1"/>
  <c r="A160" i="5" s="1"/>
  <c r="A159" i="5" a="1"/>
  <c r="A159" i="5" s="1"/>
  <c r="A158" i="5" a="1"/>
  <c r="A158" i="5" s="1"/>
  <c r="A157" i="5" a="1"/>
  <c r="A157" i="5" s="1"/>
  <c r="A156" i="5" a="1"/>
  <c r="A156" i="5" s="1"/>
  <c r="A155" i="5" a="1"/>
  <c r="A155" i="5" s="1"/>
  <c r="A154" i="5" a="1"/>
  <c r="A154" i="5" s="1"/>
  <c r="A153" i="5" a="1"/>
  <c r="A153" i="5" s="1"/>
  <c r="A152" i="5" a="1"/>
  <c r="A152" i="5" s="1"/>
  <c r="A151" i="5" a="1"/>
  <c r="A151" i="5" s="1"/>
  <c r="A150" i="5" a="1"/>
  <c r="A150" i="5" s="1"/>
  <c r="A149" i="5" a="1"/>
  <c r="A149" i="5" s="1"/>
  <c r="A148" i="5" a="1"/>
  <c r="A148" i="5" s="1"/>
  <c r="A147" i="5" a="1"/>
  <c r="A147" i="5" s="1"/>
  <c r="A146" i="5" a="1"/>
  <c r="A146" i="5" s="1"/>
  <c r="A145" i="5" a="1"/>
  <c r="A145" i="5" s="1"/>
  <c r="A144" i="5" a="1"/>
  <c r="A144" i="5" s="1"/>
  <c r="A143" i="5" a="1"/>
  <c r="A143" i="5" s="1"/>
  <c r="A142" i="5" a="1"/>
  <c r="A142" i="5" s="1"/>
  <c r="A141" i="5" a="1"/>
  <c r="A141" i="5" s="1"/>
  <c r="A140" i="5" a="1"/>
  <c r="A140" i="5" s="1"/>
  <c r="A139" i="5" a="1"/>
  <c r="A139" i="5" s="1"/>
  <c r="A138" i="5" a="1"/>
  <c r="A138" i="5" s="1"/>
  <c r="A137" i="5" a="1"/>
  <c r="A137" i="5" s="1"/>
  <c r="A136" i="5" a="1"/>
  <c r="A136" i="5" s="1"/>
  <c r="A135" i="5" a="1"/>
  <c r="A135" i="5" s="1"/>
  <c r="A134" i="5" a="1"/>
  <c r="A134" i="5" s="1"/>
  <c r="A133" i="5" a="1"/>
  <c r="A133" i="5" s="1"/>
  <c r="A132" i="5" a="1"/>
  <c r="A132" i="5" s="1"/>
  <c r="A131" i="5" a="1"/>
  <c r="A131" i="5" s="1"/>
  <c r="A130" i="5" a="1"/>
  <c r="A130" i="5" s="1"/>
  <c r="A129" i="5" a="1"/>
  <c r="A129" i="5" s="1"/>
  <c r="A128" i="5" a="1"/>
  <c r="A128" i="5" s="1"/>
  <c r="A127" i="5" a="1"/>
  <c r="A127" i="5" s="1"/>
  <c r="A126" i="5" a="1"/>
  <c r="A126" i="5" s="1"/>
  <c r="A125" i="5" a="1"/>
  <c r="A125" i="5" s="1"/>
  <c r="A124" i="5" a="1"/>
  <c r="A124" i="5" s="1"/>
  <c r="A123" i="5" a="1"/>
  <c r="A123" i="5" s="1"/>
  <c r="A122" i="5" a="1"/>
  <c r="A122" i="5" s="1"/>
  <c r="A121" i="5" a="1"/>
  <c r="A121" i="5" s="1"/>
  <c r="A120" i="5" a="1"/>
  <c r="A120" i="5" s="1"/>
  <c r="A119" i="5" a="1"/>
  <c r="A119" i="5" s="1"/>
  <c r="A118" i="5" a="1"/>
  <c r="A118" i="5" s="1"/>
  <c r="A117" i="5" a="1"/>
  <c r="A117" i="5" s="1"/>
  <c r="A116" i="5" a="1"/>
  <c r="A116" i="5" s="1"/>
  <c r="A115" i="5" a="1"/>
  <c r="A115" i="5" s="1"/>
  <c r="A114" i="5" a="1"/>
  <c r="A114" i="5" s="1"/>
  <c r="A113" i="5" a="1"/>
  <c r="A113" i="5" s="1"/>
  <c r="A112" i="5" a="1"/>
  <c r="A112" i="5" s="1"/>
  <c r="A111" i="5" a="1"/>
  <c r="A111" i="5" s="1"/>
  <c r="A110" i="5" a="1"/>
  <c r="A110" i="5" s="1"/>
  <c r="A109" i="5" a="1"/>
  <c r="A109" i="5" s="1"/>
  <c r="A108" i="5" a="1"/>
  <c r="A108" i="5" s="1"/>
  <c r="A107" i="5" a="1"/>
  <c r="A107" i="5" s="1"/>
  <c r="A106" i="5" a="1"/>
  <c r="A106" i="5" s="1"/>
  <c r="A105" i="5" a="1"/>
  <c r="A105" i="5" s="1"/>
  <c r="A104" i="5" a="1"/>
  <c r="A104" i="5" s="1"/>
  <c r="A103" i="5" a="1"/>
  <c r="A103" i="5" s="1"/>
  <c r="A102" i="5" a="1"/>
  <c r="A102" i="5" s="1"/>
  <c r="A101" i="5" a="1"/>
  <c r="A101" i="5" s="1"/>
  <c r="A100" i="5" a="1"/>
  <c r="A100" i="5" s="1"/>
  <c r="A99" i="5" a="1"/>
  <c r="A99" i="5" s="1"/>
  <c r="A98" i="5" a="1"/>
  <c r="A98" i="5" s="1"/>
  <c r="A97" i="5" a="1"/>
  <c r="A97" i="5" s="1"/>
  <c r="A96" i="5" a="1"/>
  <c r="A96" i="5" s="1"/>
  <c r="A95" i="5" a="1"/>
  <c r="A95" i="5" s="1"/>
  <c r="A94" i="5" a="1"/>
  <c r="A94" i="5" s="1"/>
  <c r="A93" i="5" a="1"/>
  <c r="A93" i="5" s="1"/>
  <c r="A92" i="5" a="1"/>
  <c r="A92" i="5" s="1"/>
  <c r="A91" i="5" a="1"/>
  <c r="A91" i="5" s="1"/>
  <c r="A90" i="5" a="1"/>
  <c r="A90" i="5" s="1"/>
  <c r="A89" i="5" a="1"/>
  <c r="A89" i="5" s="1"/>
  <c r="A88" i="5" a="1"/>
  <c r="A88" i="5" s="1"/>
  <c r="A87" i="5" a="1"/>
  <c r="A87" i="5" s="1"/>
  <c r="A86" i="5" a="1"/>
  <c r="A86" i="5" s="1"/>
  <c r="A85" i="5" a="1"/>
  <c r="A85" i="5" s="1"/>
  <c r="A84" i="5" a="1"/>
  <c r="A84" i="5" s="1"/>
  <c r="A83" i="5" a="1"/>
  <c r="A83" i="5" s="1"/>
  <c r="A82" i="5" a="1"/>
  <c r="A82" i="5" s="1"/>
  <c r="A81" i="5" a="1"/>
  <c r="A81" i="5" s="1"/>
  <c r="A80" i="5" a="1"/>
  <c r="A80" i="5" s="1"/>
  <c r="A79" i="5" a="1"/>
  <c r="A79" i="5" s="1"/>
  <c r="A78" i="5" a="1"/>
  <c r="A78" i="5" s="1"/>
  <c r="A77" i="5" a="1"/>
  <c r="A77" i="5" s="1"/>
  <c r="A76" i="5" a="1"/>
  <c r="A76" i="5" s="1"/>
  <c r="A75" i="5" a="1"/>
  <c r="A75" i="5" s="1"/>
  <c r="A74" i="5" a="1"/>
  <c r="A74" i="5" s="1"/>
  <c r="A73" i="5" a="1"/>
  <c r="A73" i="5" s="1"/>
  <c r="A72" i="5" a="1"/>
  <c r="A72" i="5" s="1"/>
  <c r="A71" i="5" a="1"/>
  <c r="A71" i="5" s="1"/>
  <c r="A70" i="5" a="1"/>
  <c r="A70" i="5" s="1"/>
  <c r="A69" i="5" a="1"/>
  <c r="A69" i="5" s="1"/>
  <c r="A68" i="5" a="1"/>
  <c r="A68" i="5" s="1"/>
  <c r="A67" i="5" a="1"/>
  <c r="A67" i="5" s="1"/>
  <c r="A66" i="5" a="1"/>
  <c r="A66" i="5" s="1"/>
  <c r="A65" i="5" a="1"/>
  <c r="A65" i="5" s="1"/>
  <c r="A64" i="5" a="1"/>
  <c r="A64" i="5" s="1"/>
  <c r="A63" i="5" a="1"/>
  <c r="A63" i="5" s="1"/>
  <c r="A62" i="5" a="1"/>
  <c r="A62" i="5" s="1"/>
  <c r="A61" i="5" a="1"/>
  <c r="A61" i="5" s="1"/>
  <c r="A60" i="5" a="1"/>
  <c r="A60" i="5" s="1"/>
  <c r="A59" i="5" a="1"/>
  <c r="A59" i="5" s="1"/>
  <c r="A58" i="5" a="1"/>
  <c r="A58" i="5" s="1"/>
  <c r="A57" i="5" a="1"/>
  <c r="A57" i="5" s="1"/>
  <c r="A56" i="5" a="1"/>
  <c r="A56" i="5" s="1"/>
  <c r="A55" i="5" a="1"/>
  <c r="A55" i="5" s="1"/>
  <c r="A54" i="5" a="1"/>
  <c r="A54" i="5" s="1"/>
  <c r="A53" i="5" a="1"/>
  <c r="A53" i="5" s="1"/>
  <c r="A52" i="5" a="1"/>
  <c r="A52" i="5" s="1"/>
  <c r="A51" i="5" a="1"/>
  <c r="A51" i="5" s="1"/>
  <c r="A50" i="5" a="1"/>
  <c r="A50" i="5" s="1"/>
  <c r="A49" i="5" a="1"/>
  <c r="A49" i="5" s="1"/>
  <c r="A48" i="5" a="1"/>
  <c r="A48" i="5" s="1"/>
  <c r="A47" i="5" a="1"/>
  <c r="A47" i="5" s="1"/>
  <c r="A46" i="5" a="1"/>
  <c r="A46" i="5" s="1"/>
  <c r="A45" i="5" a="1"/>
  <c r="A45" i="5" s="1"/>
  <c r="A44" i="5" a="1"/>
  <c r="A44" i="5" s="1"/>
  <c r="A43" i="5" a="1"/>
  <c r="A43" i="5" s="1"/>
  <c r="A42" i="5" a="1"/>
  <c r="A42" i="5" s="1"/>
  <c r="A41" i="5" a="1"/>
  <c r="A41" i="5" s="1"/>
  <c r="A40" i="5" a="1"/>
  <c r="A40" i="5" s="1"/>
  <c r="A39" i="5" a="1"/>
  <c r="A39" i="5" s="1"/>
  <c r="A38" i="5" a="1"/>
  <c r="A38" i="5" s="1"/>
  <c r="A37" i="5" a="1"/>
  <c r="A37" i="5" s="1"/>
  <c r="A36" i="5" a="1"/>
  <c r="A36" i="5" s="1"/>
  <c r="A35" i="5" a="1"/>
  <c r="A35" i="5" s="1"/>
  <c r="A34" i="5" a="1"/>
  <c r="A34" i="5" s="1"/>
  <c r="A33" i="5" a="1"/>
  <c r="A33" i="5" s="1"/>
  <c r="A32" i="5" a="1"/>
  <c r="A32" i="5" s="1"/>
  <c r="A31" i="5" a="1"/>
  <c r="A31" i="5" s="1"/>
  <c r="A30" i="5" a="1"/>
  <c r="A30" i="5" s="1"/>
  <c r="A29" i="5" a="1"/>
  <c r="A29" i="5" s="1"/>
  <c r="A28" i="5" a="1"/>
  <c r="A28" i="5" s="1"/>
  <c r="A27" i="5" a="1"/>
  <c r="A27" i="5" s="1"/>
  <c r="A26" i="5" a="1"/>
  <c r="A26" i="5" s="1"/>
  <c r="A25" i="5" a="1"/>
  <c r="A25" i="5" s="1"/>
  <c r="A24" i="5" a="1"/>
  <c r="A24" i="5" s="1"/>
  <c r="A23" i="5" a="1"/>
  <c r="A23" i="5" s="1"/>
  <c r="A22" i="5" a="1"/>
  <c r="A22" i="5" s="1"/>
  <c r="A21" i="5" a="1"/>
  <c r="A21" i="5" s="1"/>
  <c r="A20" i="5" a="1"/>
  <c r="A20" i="5" s="1"/>
  <c r="A19" i="5" a="1"/>
  <c r="A19" i="5" s="1"/>
  <c r="A18" i="5" a="1"/>
  <c r="A18" i="5" s="1"/>
  <c r="A17" i="5" a="1"/>
  <c r="A17" i="5" s="1"/>
  <c r="A16" i="5" a="1"/>
  <c r="A16" i="5" s="1"/>
  <c r="A15" i="5" a="1"/>
  <c r="A15" i="5" s="1"/>
  <c r="A14" i="5" a="1"/>
  <c r="A14" i="5" s="1"/>
  <c r="A13" i="5" a="1"/>
  <c r="A13" i="5" s="1"/>
  <c r="A12" i="5" a="1"/>
  <c r="A12" i="5" s="1"/>
  <c r="A11" i="5" a="1"/>
  <c r="A11" i="5" s="1"/>
  <c r="A10" i="5" a="1"/>
  <c r="A10" i="5" s="1"/>
  <c r="A9" i="5" a="1"/>
  <c r="A9" i="5" s="1"/>
  <c r="A8" i="5" a="1"/>
  <c r="A8" i="5" s="1"/>
  <c r="A7" i="5" a="1"/>
  <c r="A7" i="5" s="1"/>
  <c r="A6" i="5" a="1"/>
  <c r="A6" i="5" s="1"/>
  <c r="A5" i="5" a="1"/>
  <c r="A5" i="5" s="1"/>
  <c r="A4" i="5" a="1"/>
  <c r="A4" i="5" s="1"/>
  <c r="A3" i="5" a="1"/>
  <c r="A3" i="5" s="1"/>
  <c r="A2" i="5" a="1"/>
  <c r="A2" i="5" s="1"/>
  <c r="A300" i="4" a="1"/>
  <c r="A300" i="4" s="1"/>
  <c r="B300" i="4" s="1"/>
  <c r="A299" i="4" a="1"/>
  <c r="A299" i="4" s="1"/>
  <c r="B299" i="4" s="1"/>
  <c r="A298" i="4" a="1"/>
  <c r="A298" i="4" s="1"/>
  <c r="B298" i="4" s="1"/>
  <c r="A297" i="4" a="1"/>
  <c r="A297" i="4" s="1"/>
  <c r="B297" i="4" s="1"/>
  <c r="A296" i="4" a="1"/>
  <c r="A296" i="4" s="1"/>
  <c r="B296" i="4" s="1"/>
  <c r="A295" i="4" a="1"/>
  <c r="A295" i="4" s="1"/>
  <c r="B295" i="4" s="1"/>
  <c r="A294" i="4" a="1"/>
  <c r="A294" i="4" s="1"/>
  <c r="B294" i="4" s="1"/>
  <c r="A293" i="4" a="1"/>
  <c r="A293" i="4" s="1"/>
  <c r="B293" i="4" s="1"/>
  <c r="A292" i="4" a="1"/>
  <c r="A292" i="4" s="1"/>
  <c r="B292" i="4" s="1"/>
  <c r="A291" i="4" a="1"/>
  <c r="A291" i="4" s="1"/>
  <c r="B291" i="4" s="1"/>
  <c r="A290" i="4" a="1"/>
  <c r="A290" i="4" s="1"/>
  <c r="B290" i="4" s="1"/>
  <c r="A289" i="4" a="1"/>
  <c r="A289" i="4" s="1"/>
  <c r="B289" i="4" s="1"/>
  <c r="A288" i="4" a="1"/>
  <c r="A288" i="4" s="1"/>
  <c r="B288" i="4" s="1"/>
  <c r="A287" i="4" a="1"/>
  <c r="A287" i="4" s="1"/>
  <c r="B287" i="4" s="1"/>
  <c r="A286" i="4" a="1"/>
  <c r="A286" i="4" s="1"/>
  <c r="B286" i="4" s="1"/>
  <c r="A285" i="4" a="1"/>
  <c r="A285" i="4" s="1"/>
  <c r="B285" i="4" s="1"/>
  <c r="A284" i="4" a="1"/>
  <c r="A284" i="4" s="1"/>
  <c r="B284" i="4" s="1"/>
  <c r="A283" i="4" a="1"/>
  <c r="A283" i="4" s="1"/>
  <c r="B283" i="4" s="1"/>
  <c r="A282" i="4" a="1"/>
  <c r="A282" i="4" s="1"/>
  <c r="B282" i="4" s="1"/>
  <c r="A281" i="4" a="1"/>
  <c r="A281" i="4" s="1"/>
  <c r="B281" i="4" s="1"/>
  <c r="A280" i="4" a="1"/>
  <c r="A280" i="4" s="1"/>
  <c r="B280" i="4" s="1"/>
  <c r="A279" i="4" a="1"/>
  <c r="A279" i="4" s="1"/>
  <c r="B279" i="4" s="1"/>
  <c r="A278" i="4" a="1"/>
  <c r="A278" i="4" s="1"/>
  <c r="B278" i="4" s="1"/>
  <c r="A277" i="4" a="1"/>
  <c r="A277" i="4" s="1"/>
  <c r="B277" i="4" s="1"/>
  <c r="A276" i="4" a="1"/>
  <c r="A276" i="4" s="1"/>
  <c r="B276" i="4" s="1"/>
  <c r="A275" i="4" a="1"/>
  <c r="A275" i="4" s="1"/>
  <c r="B275" i="4" s="1"/>
  <c r="A274" i="4" a="1"/>
  <c r="A274" i="4" s="1"/>
  <c r="B274" i="4" s="1"/>
  <c r="A273" i="4" a="1"/>
  <c r="A273" i="4" s="1"/>
  <c r="B273" i="4" s="1"/>
  <c r="A272" i="4" a="1"/>
  <c r="A272" i="4" s="1"/>
  <c r="B272" i="4" s="1"/>
  <c r="A271" i="4" a="1"/>
  <c r="A271" i="4" s="1"/>
  <c r="B271" i="4" s="1"/>
  <c r="A270" i="4" a="1"/>
  <c r="A270" i="4" s="1"/>
  <c r="B270" i="4" s="1"/>
  <c r="A269" i="4" a="1"/>
  <c r="A269" i="4" s="1"/>
  <c r="B269" i="4" s="1"/>
  <c r="A268" i="4" a="1"/>
  <c r="A268" i="4" s="1"/>
  <c r="B268" i="4" s="1"/>
  <c r="A267" i="4" a="1"/>
  <c r="A267" i="4" s="1"/>
  <c r="B267" i="4" s="1"/>
  <c r="A266" i="4" a="1"/>
  <c r="A266" i="4" s="1"/>
  <c r="B266" i="4" s="1"/>
  <c r="A265" i="4" a="1"/>
  <c r="A265" i="4" s="1"/>
  <c r="B265" i="4" s="1"/>
  <c r="A264" i="4" a="1"/>
  <c r="A264" i="4" s="1"/>
  <c r="B264" i="4" s="1"/>
  <c r="A263" i="4" a="1"/>
  <c r="A263" i="4" s="1"/>
  <c r="B263" i="4" s="1"/>
  <c r="A262" i="4" a="1"/>
  <c r="A262" i="4" s="1"/>
  <c r="B262" i="4" s="1"/>
  <c r="A261" i="4" a="1"/>
  <c r="A261" i="4" s="1"/>
  <c r="B261" i="4" s="1"/>
  <c r="A260" i="4" a="1"/>
  <c r="A260" i="4" s="1"/>
  <c r="B260" i="4" s="1"/>
  <c r="A259" i="4" a="1"/>
  <c r="A259" i="4" s="1"/>
  <c r="B259" i="4" s="1"/>
  <c r="A258" i="4" a="1"/>
  <c r="A258" i="4" s="1"/>
  <c r="B258" i="4" s="1"/>
  <c r="A257" i="4" a="1"/>
  <c r="A257" i="4" s="1"/>
  <c r="B257" i="4" s="1"/>
  <c r="A256" i="4" a="1"/>
  <c r="A256" i="4" s="1"/>
  <c r="B256" i="4" s="1"/>
  <c r="A255" i="4" a="1"/>
  <c r="A255" i="4" s="1"/>
  <c r="B255" i="4" s="1"/>
  <c r="A254" i="4" a="1"/>
  <c r="A254" i="4" s="1"/>
  <c r="B254" i="4" s="1"/>
  <c r="A253" i="4" a="1"/>
  <c r="A253" i="4" s="1"/>
  <c r="B253" i="4" s="1"/>
  <c r="A252" i="4" a="1"/>
  <c r="A252" i="4" s="1"/>
  <c r="B252" i="4" s="1"/>
  <c r="A251" i="4" a="1"/>
  <c r="A251" i="4" s="1"/>
  <c r="B251" i="4" s="1"/>
  <c r="A250" i="4" a="1"/>
  <c r="A250" i="4" s="1"/>
  <c r="B250" i="4" s="1"/>
  <c r="A249" i="4" a="1"/>
  <c r="A249" i="4" s="1"/>
  <c r="B249" i="4" s="1"/>
  <c r="A248" i="4" a="1"/>
  <c r="A248" i="4" s="1"/>
  <c r="B248" i="4" s="1"/>
  <c r="A247" i="4" a="1"/>
  <c r="A247" i="4" s="1"/>
  <c r="B247" i="4" s="1"/>
  <c r="A246" i="4" a="1"/>
  <c r="A246" i="4" s="1"/>
  <c r="B246" i="4" s="1"/>
  <c r="A245" i="4" a="1"/>
  <c r="A245" i="4" s="1"/>
  <c r="B245" i="4" s="1"/>
  <c r="A244" i="4" a="1"/>
  <c r="A244" i="4" s="1"/>
  <c r="B244" i="4" s="1"/>
  <c r="A243" i="4" a="1"/>
  <c r="A243" i="4" s="1"/>
  <c r="B243" i="4" s="1"/>
  <c r="A242" i="4" a="1"/>
  <c r="A242" i="4" s="1"/>
  <c r="B242" i="4" s="1"/>
  <c r="A241" i="4" a="1"/>
  <c r="A241" i="4" s="1"/>
  <c r="B241" i="4" s="1"/>
  <c r="A240" i="4" a="1"/>
  <c r="A240" i="4" s="1"/>
  <c r="B240" i="4" s="1"/>
  <c r="A239" i="4" a="1"/>
  <c r="A239" i="4" s="1"/>
  <c r="B239" i="4" s="1"/>
  <c r="A238" i="4" a="1"/>
  <c r="A238" i="4" s="1"/>
  <c r="B238" i="4" s="1"/>
  <c r="A237" i="4" a="1"/>
  <c r="A237" i="4" s="1"/>
  <c r="B237" i="4" s="1"/>
  <c r="A236" i="4" a="1"/>
  <c r="A236" i="4" s="1"/>
  <c r="B236" i="4" s="1"/>
  <c r="A235" i="4" a="1"/>
  <c r="A235" i="4" s="1"/>
  <c r="B235" i="4" s="1"/>
  <c r="A234" i="4" a="1"/>
  <c r="A234" i="4" s="1"/>
  <c r="B234" i="4" s="1"/>
  <c r="A233" i="4" a="1"/>
  <c r="A233" i="4" s="1"/>
  <c r="B233" i="4" s="1"/>
  <c r="A232" i="4" a="1"/>
  <c r="A232" i="4" s="1"/>
  <c r="B232" i="4" s="1"/>
  <c r="A231" i="4" a="1"/>
  <c r="A231" i="4" s="1"/>
  <c r="B231" i="4" s="1"/>
  <c r="A230" i="4" a="1"/>
  <c r="A230" i="4" s="1"/>
  <c r="B230" i="4" s="1"/>
  <c r="A229" i="4" a="1"/>
  <c r="A229" i="4" s="1"/>
  <c r="B229" i="4" s="1"/>
  <c r="A228" i="4" a="1"/>
  <c r="A228" i="4" s="1"/>
  <c r="B228" i="4" s="1"/>
  <c r="A227" i="4" a="1"/>
  <c r="A227" i="4" s="1"/>
  <c r="B227" i="4" s="1"/>
  <c r="A226" i="4" a="1"/>
  <c r="A226" i="4" s="1"/>
  <c r="B226" i="4" s="1"/>
  <c r="A225" i="4" a="1"/>
  <c r="A225" i="4" s="1"/>
  <c r="B225" i="4" s="1"/>
  <c r="A224" i="4" a="1"/>
  <c r="A224" i="4" s="1"/>
  <c r="B224" i="4" s="1"/>
  <c r="A223" i="4" a="1"/>
  <c r="A223" i="4" s="1"/>
  <c r="B223" i="4" s="1"/>
  <c r="A222" i="4" a="1"/>
  <c r="A222" i="4" s="1"/>
  <c r="B222" i="4" s="1"/>
  <c r="A221" i="4" a="1"/>
  <c r="A221" i="4" s="1"/>
  <c r="B221" i="4" s="1"/>
  <c r="A220" i="4" a="1"/>
  <c r="A220" i="4" s="1"/>
  <c r="B220" i="4" s="1"/>
  <c r="A219" i="4" a="1"/>
  <c r="A219" i="4" s="1"/>
  <c r="B219" i="4" s="1"/>
  <c r="A218" i="4" a="1"/>
  <c r="A218" i="4" s="1"/>
  <c r="B218" i="4" s="1"/>
  <c r="A217" i="4" a="1"/>
  <c r="A217" i="4" s="1"/>
  <c r="B217" i="4" s="1"/>
  <c r="A216" i="4" a="1"/>
  <c r="A216" i="4" s="1"/>
  <c r="B216" i="4" s="1"/>
  <c r="A215" i="4" a="1"/>
  <c r="A215" i="4" s="1"/>
  <c r="B215" i="4" s="1"/>
  <c r="A214" i="4" a="1"/>
  <c r="A214" i="4" s="1"/>
  <c r="B214" i="4" s="1"/>
  <c r="A213" i="4" a="1"/>
  <c r="A213" i="4" s="1"/>
  <c r="B213" i="4" s="1"/>
  <c r="A212" i="4" a="1"/>
  <c r="A212" i="4" s="1"/>
  <c r="B212" i="4" s="1"/>
  <c r="A211" i="4" a="1"/>
  <c r="A211" i="4" s="1"/>
  <c r="B211" i="4" s="1"/>
  <c r="A210" i="4" a="1"/>
  <c r="A210" i="4" s="1"/>
  <c r="B210" i="4" s="1"/>
  <c r="A209" i="4" a="1"/>
  <c r="A209" i="4" s="1"/>
  <c r="B209" i="4" s="1"/>
  <c r="A208" i="4" a="1"/>
  <c r="A208" i="4" s="1"/>
  <c r="B208" i="4" s="1"/>
  <c r="A207" i="4" a="1"/>
  <c r="A207" i="4" s="1"/>
  <c r="B207" i="4" s="1"/>
  <c r="A206" i="4" a="1"/>
  <c r="A206" i="4" s="1"/>
  <c r="B206" i="4" s="1"/>
  <c r="A205" i="4" a="1"/>
  <c r="A205" i="4" s="1"/>
  <c r="B205" i="4" s="1"/>
  <c r="A204" i="4" a="1"/>
  <c r="A204" i="4" s="1"/>
  <c r="B204" i="4" s="1"/>
  <c r="A203" i="4" a="1"/>
  <c r="A203" i="4" s="1"/>
  <c r="B203" i="4" s="1"/>
  <c r="A202" i="4" a="1"/>
  <c r="A202" i="4" s="1"/>
  <c r="B202" i="4" s="1"/>
  <c r="A201" i="4" a="1"/>
  <c r="A201" i="4" s="1"/>
  <c r="B201" i="4" s="1"/>
  <c r="A200" i="4" a="1"/>
  <c r="A200" i="4" s="1"/>
  <c r="B200" i="4" s="1"/>
  <c r="A199" i="4" a="1"/>
  <c r="A199" i="4" s="1"/>
  <c r="B199" i="4" s="1"/>
  <c r="A198" i="4" a="1"/>
  <c r="A198" i="4" s="1"/>
  <c r="B198" i="4" s="1"/>
  <c r="A197" i="4" a="1"/>
  <c r="A197" i="4" s="1"/>
  <c r="B197" i="4" s="1"/>
  <c r="A196" i="4" a="1"/>
  <c r="A196" i="4" s="1"/>
  <c r="B196" i="4" s="1"/>
  <c r="A195" i="4" a="1"/>
  <c r="A195" i="4" s="1"/>
  <c r="B195" i="4" s="1"/>
  <c r="A194" i="4" a="1"/>
  <c r="A194" i="4" s="1"/>
  <c r="B194" i="4" s="1"/>
  <c r="A193" i="4" a="1"/>
  <c r="A193" i="4" s="1"/>
  <c r="B193" i="4" s="1"/>
  <c r="A192" i="4" a="1"/>
  <c r="A192" i="4" s="1"/>
  <c r="B192" i="4" s="1"/>
  <c r="A191" i="4" a="1"/>
  <c r="A191" i="4" s="1"/>
  <c r="B191" i="4" s="1"/>
  <c r="A190" i="4" a="1"/>
  <c r="A190" i="4" s="1"/>
  <c r="B190" i="4" s="1"/>
  <c r="A189" i="4" a="1"/>
  <c r="A189" i="4" s="1"/>
  <c r="B189" i="4" s="1"/>
  <c r="A188" i="4" a="1"/>
  <c r="A188" i="4" s="1"/>
  <c r="B188" i="4" s="1"/>
  <c r="A187" i="4" a="1"/>
  <c r="A187" i="4" s="1"/>
  <c r="B187" i="4" s="1"/>
  <c r="A186" i="4" a="1"/>
  <c r="A186" i="4" s="1"/>
  <c r="B186" i="4" s="1"/>
  <c r="A185" i="4" a="1"/>
  <c r="A185" i="4" s="1"/>
  <c r="B185" i="4" s="1"/>
  <c r="A184" i="4" a="1"/>
  <c r="A184" i="4" s="1"/>
  <c r="B184" i="4" s="1"/>
  <c r="A183" i="4" a="1"/>
  <c r="A183" i="4" s="1"/>
  <c r="B183" i="4" s="1"/>
  <c r="A182" i="4" a="1"/>
  <c r="A182" i="4" s="1"/>
  <c r="B182" i="4" s="1"/>
  <c r="A181" i="4" a="1"/>
  <c r="A181" i="4" s="1"/>
  <c r="B181" i="4" s="1"/>
  <c r="A180" i="4" a="1"/>
  <c r="A180" i="4" s="1"/>
  <c r="B180" i="4" s="1"/>
  <c r="A179" i="4" a="1"/>
  <c r="A179" i="4" s="1"/>
  <c r="B179" i="4" s="1"/>
  <c r="A178" i="4" a="1"/>
  <c r="A178" i="4" s="1"/>
  <c r="B178" i="4" s="1"/>
  <c r="A177" i="4" a="1"/>
  <c r="A177" i="4" s="1"/>
  <c r="B177" i="4" s="1"/>
  <c r="A176" i="4" a="1"/>
  <c r="A176" i="4" s="1"/>
  <c r="B176" i="4" s="1"/>
  <c r="A175" i="4" a="1"/>
  <c r="A175" i="4" s="1"/>
  <c r="B175" i="4" s="1"/>
  <c r="A174" i="4" a="1"/>
  <c r="A174" i="4" s="1"/>
  <c r="B174" i="4" s="1"/>
  <c r="A173" i="4" a="1"/>
  <c r="A173" i="4" s="1"/>
  <c r="B173" i="4" s="1"/>
  <c r="A172" i="4" a="1"/>
  <c r="A172" i="4" s="1"/>
  <c r="B172" i="4" s="1"/>
  <c r="A171" i="4" a="1"/>
  <c r="A171" i="4" s="1"/>
  <c r="B171" i="4" s="1"/>
  <c r="A170" i="4" a="1"/>
  <c r="A170" i="4" s="1"/>
  <c r="B170" i="4" s="1"/>
  <c r="A169" i="4" a="1"/>
  <c r="A169" i="4" s="1"/>
  <c r="B169" i="4" s="1"/>
  <c r="A168" i="4" a="1"/>
  <c r="A168" i="4" s="1"/>
  <c r="B168" i="4" s="1"/>
  <c r="A167" i="4" a="1"/>
  <c r="A167" i="4" s="1"/>
  <c r="B167" i="4" s="1"/>
  <c r="A166" i="4" a="1"/>
  <c r="A166" i="4" s="1"/>
  <c r="B166" i="4" s="1"/>
  <c r="A165" i="4" a="1"/>
  <c r="A165" i="4" s="1"/>
  <c r="B165" i="4" s="1"/>
  <c r="A164" i="4" a="1"/>
  <c r="A164" i="4" s="1"/>
  <c r="B164" i="4" s="1"/>
  <c r="A163" i="4" a="1"/>
  <c r="A163" i="4" s="1"/>
  <c r="B163" i="4" s="1"/>
  <c r="A162" i="4" a="1"/>
  <c r="A162" i="4" s="1"/>
  <c r="B162" i="4" s="1"/>
  <c r="A161" i="4" a="1"/>
  <c r="A161" i="4" s="1"/>
  <c r="B161" i="4" s="1"/>
  <c r="A160" i="4" a="1"/>
  <c r="A160" i="4" s="1"/>
  <c r="B160" i="4" s="1"/>
  <c r="A159" i="4" a="1"/>
  <c r="A159" i="4" s="1"/>
  <c r="B159" i="4" s="1"/>
  <c r="A158" i="4" a="1"/>
  <c r="A158" i="4" s="1"/>
  <c r="B158" i="4" s="1"/>
  <c r="A157" i="4" a="1"/>
  <c r="A157" i="4" s="1"/>
  <c r="B157" i="4" s="1"/>
  <c r="A156" i="4" a="1"/>
  <c r="A156" i="4" s="1"/>
  <c r="B156" i="4" s="1"/>
  <c r="A155" i="4" a="1"/>
  <c r="A155" i="4" s="1"/>
  <c r="B155" i="4" s="1"/>
  <c r="A154" i="4" a="1"/>
  <c r="A154" i="4" s="1"/>
  <c r="B154" i="4" s="1"/>
  <c r="A153" i="4" a="1"/>
  <c r="A153" i="4" s="1"/>
  <c r="B153" i="4" s="1"/>
  <c r="A152" i="4" a="1"/>
  <c r="A152" i="4" s="1"/>
  <c r="B152" i="4" s="1"/>
  <c r="A151" i="4" a="1"/>
  <c r="A151" i="4" s="1"/>
  <c r="B151" i="4" s="1"/>
  <c r="A150" i="4" a="1"/>
  <c r="A150" i="4" s="1"/>
  <c r="B150" i="4" s="1"/>
  <c r="A149" i="4" a="1"/>
  <c r="A149" i="4" s="1"/>
  <c r="B149" i="4" s="1"/>
  <c r="A148" i="4" a="1"/>
  <c r="A148" i="4" s="1"/>
  <c r="B148" i="4" s="1"/>
  <c r="A147" i="4" a="1"/>
  <c r="A147" i="4" s="1"/>
  <c r="B147" i="4" s="1"/>
  <c r="A146" i="4" a="1"/>
  <c r="A146" i="4" s="1"/>
  <c r="B146" i="4" s="1"/>
  <c r="A145" i="4" a="1"/>
  <c r="A145" i="4" s="1"/>
  <c r="B145" i="4" s="1"/>
  <c r="A144" i="4" a="1"/>
  <c r="A144" i="4" s="1"/>
  <c r="B144" i="4" s="1"/>
  <c r="A143" i="4" a="1"/>
  <c r="A143" i="4" s="1"/>
  <c r="B143" i="4" s="1"/>
  <c r="A142" i="4" a="1"/>
  <c r="A142" i="4" s="1"/>
  <c r="B142" i="4" s="1"/>
  <c r="A141" i="4" a="1"/>
  <c r="A141" i="4" s="1"/>
  <c r="B141" i="4" s="1"/>
  <c r="A140" i="4" a="1"/>
  <c r="A140" i="4" s="1"/>
  <c r="B140" i="4" s="1"/>
  <c r="A139" i="4" a="1"/>
  <c r="A139" i="4" s="1"/>
  <c r="B139" i="4" s="1"/>
  <c r="A138" i="4" a="1"/>
  <c r="A138" i="4" s="1"/>
  <c r="B138" i="4" s="1"/>
  <c r="A137" i="4" a="1"/>
  <c r="A137" i="4" s="1"/>
  <c r="B137" i="4" s="1"/>
  <c r="A136" i="4" a="1"/>
  <c r="A136" i="4" s="1"/>
  <c r="B136" i="4" s="1"/>
  <c r="A135" i="4" a="1"/>
  <c r="A135" i="4" s="1"/>
  <c r="B135" i="4" s="1"/>
  <c r="A134" i="4" a="1"/>
  <c r="A134" i="4" s="1"/>
  <c r="B134" i="4" s="1"/>
  <c r="A133" i="4" a="1"/>
  <c r="A133" i="4" s="1"/>
  <c r="B133" i="4" s="1"/>
  <c r="A132" i="4" a="1"/>
  <c r="A132" i="4" s="1"/>
  <c r="B132" i="4" s="1"/>
  <c r="A131" i="4" a="1"/>
  <c r="A131" i="4" s="1"/>
  <c r="B131" i="4" s="1"/>
  <c r="A130" i="4" a="1"/>
  <c r="A130" i="4" s="1"/>
  <c r="B130" i="4" s="1"/>
  <c r="A129" i="4" a="1"/>
  <c r="A129" i="4" s="1"/>
  <c r="B129" i="4" s="1"/>
  <c r="A128" i="4" a="1"/>
  <c r="A128" i="4" s="1"/>
  <c r="B128" i="4" s="1"/>
  <c r="A127" i="4" a="1"/>
  <c r="A127" i="4" s="1"/>
  <c r="B127" i="4" s="1"/>
  <c r="A126" i="4" a="1"/>
  <c r="A126" i="4" s="1"/>
  <c r="B126" i="4" s="1"/>
  <c r="A125" i="4" a="1"/>
  <c r="A125" i="4" s="1"/>
  <c r="B125" i="4" s="1"/>
  <c r="A124" i="4" a="1"/>
  <c r="A124" i="4" s="1"/>
  <c r="B124" i="4" s="1"/>
  <c r="A123" i="4" a="1"/>
  <c r="A123" i="4" s="1"/>
  <c r="B123" i="4" s="1"/>
  <c r="A122" i="4" a="1"/>
  <c r="A122" i="4" s="1"/>
  <c r="B122" i="4" s="1"/>
  <c r="A121" i="4" a="1"/>
  <c r="A121" i="4" s="1"/>
  <c r="B121" i="4" s="1"/>
  <c r="A120" i="4" a="1"/>
  <c r="A120" i="4" s="1"/>
  <c r="B120" i="4" s="1"/>
  <c r="A119" i="4" a="1"/>
  <c r="A119" i="4" s="1"/>
  <c r="B119" i="4" s="1"/>
  <c r="A118" i="4" a="1"/>
  <c r="A118" i="4" s="1"/>
  <c r="B118" i="4" s="1"/>
  <c r="A117" i="4" a="1"/>
  <c r="A117" i="4" s="1"/>
  <c r="B117" i="4" s="1"/>
  <c r="A116" i="4" a="1"/>
  <c r="A116" i="4" s="1"/>
  <c r="B116" i="4" s="1"/>
  <c r="A115" i="4" a="1"/>
  <c r="A115" i="4" s="1"/>
  <c r="B115" i="4" s="1"/>
  <c r="A114" i="4" a="1"/>
  <c r="A114" i="4" s="1"/>
  <c r="B114" i="4" s="1"/>
  <c r="A113" i="4" a="1"/>
  <c r="A113" i="4" s="1"/>
  <c r="B113" i="4" s="1"/>
  <c r="A112" i="4" a="1"/>
  <c r="A112" i="4" s="1"/>
  <c r="B112" i="4" s="1"/>
  <c r="A111" i="4" a="1"/>
  <c r="A111" i="4" s="1"/>
  <c r="B111" i="4" s="1"/>
  <c r="A110" i="4" a="1"/>
  <c r="A110" i="4" s="1"/>
  <c r="B110" i="4" s="1"/>
  <c r="A109" i="4" a="1"/>
  <c r="A109" i="4" s="1"/>
  <c r="B109" i="4" s="1"/>
  <c r="A108" i="4" a="1"/>
  <c r="A108" i="4" s="1"/>
  <c r="B108" i="4" s="1"/>
  <c r="A107" i="4" a="1"/>
  <c r="A107" i="4" s="1"/>
  <c r="B107" i="4" s="1"/>
  <c r="A106" i="4" a="1"/>
  <c r="A106" i="4" s="1"/>
  <c r="B106" i="4" s="1"/>
  <c r="A105" i="4" a="1"/>
  <c r="A105" i="4" s="1"/>
  <c r="B105" i="4" s="1"/>
  <c r="A104" i="4" a="1"/>
  <c r="A104" i="4" s="1"/>
  <c r="B104" i="4" s="1"/>
  <c r="A103" i="4" a="1"/>
  <c r="A103" i="4" s="1"/>
  <c r="B103" i="4" s="1"/>
  <c r="A102" i="4" a="1"/>
  <c r="A102" i="4" s="1"/>
  <c r="B102" i="4" s="1"/>
  <c r="A101" i="4" a="1"/>
  <c r="A101" i="4" s="1"/>
  <c r="B101" i="4" s="1"/>
  <c r="A100" i="4" a="1"/>
  <c r="A100" i="4" s="1"/>
  <c r="B100" i="4" s="1"/>
  <c r="A99" i="4" a="1"/>
  <c r="A99" i="4" s="1"/>
  <c r="B99" i="4" s="1"/>
  <c r="A98" i="4" a="1"/>
  <c r="A98" i="4" s="1"/>
  <c r="B98" i="4" s="1"/>
  <c r="A97" i="4" a="1"/>
  <c r="A97" i="4" s="1"/>
  <c r="B97" i="4" s="1"/>
  <c r="A96" i="4" a="1"/>
  <c r="A96" i="4" s="1"/>
  <c r="B96" i="4" s="1"/>
  <c r="A95" i="4" a="1"/>
  <c r="A95" i="4" s="1"/>
  <c r="B95" i="4" s="1"/>
  <c r="A94" i="4" a="1"/>
  <c r="A94" i="4" s="1"/>
  <c r="B94" i="4" s="1"/>
  <c r="A93" i="4" a="1"/>
  <c r="A93" i="4" s="1"/>
  <c r="B93" i="4" s="1"/>
  <c r="A92" i="4" a="1"/>
  <c r="A92" i="4" s="1"/>
  <c r="B92" i="4" s="1"/>
  <c r="A91" i="4" a="1"/>
  <c r="A91" i="4" s="1"/>
  <c r="B91" i="4" s="1"/>
  <c r="A90" i="4" a="1"/>
  <c r="A90" i="4" s="1"/>
  <c r="B90" i="4" s="1"/>
  <c r="A89" i="4" a="1"/>
  <c r="A89" i="4" s="1"/>
  <c r="B89" i="4" s="1"/>
  <c r="A88" i="4" a="1"/>
  <c r="A88" i="4" s="1"/>
  <c r="B88" i="4" s="1"/>
  <c r="A87" i="4" a="1"/>
  <c r="A87" i="4" s="1"/>
  <c r="B87" i="4" s="1"/>
  <c r="A86" i="4" a="1"/>
  <c r="A86" i="4" s="1"/>
  <c r="B86" i="4" s="1"/>
  <c r="A85" i="4" a="1"/>
  <c r="A85" i="4" s="1"/>
  <c r="B85" i="4" s="1"/>
  <c r="A84" i="4" a="1"/>
  <c r="A84" i="4" s="1"/>
  <c r="B84" i="4" s="1"/>
  <c r="A83" i="4" a="1"/>
  <c r="A83" i="4" s="1"/>
  <c r="B83" i="4" s="1"/>
  <c r="A82" i="4" a="1"/>
  <c r="A82" i="4" s="1"/>
  <c r="B82" i="4" s="1"/>
  <c r="A81" i="4" a="1"/>
  <c r="A81" i="4" s="1"/>
  <c r="B81" i="4" s="1"/>
  <c r="A80" i="4" a="1"/>
  <c r="A80" i="4" s="1"/>
  <c r="B80" i="4" s="1"/>
  <c r="A79" i="4" a="1"/>
  <c r="A79" i="4" s="1"/>
  <c r="B79" i="4" s="1"/>
  <c r="A78" i="4" a="1"/>
  <c r="A78" i="4" s="1"/>
  <c r="B78" i="4" s="1"/>
  <c r="A77" i="4" a="1"/>
  <c r="A77" i="4" s="1"/>
  <c r="B77" i="4" s="1"/>
  <c r="A76" i="4" a="1"/>
  <c r="A76" i="4" s="1"/>
  <c r="B76" i="4" s="1"/>
  <c r="A75" i="4" a="1"/>
  <c r="A75" i="4" s="1"/>
  <c r="B75" i="4" s="1"/>
  <c r="A74" i="4" a="1"/>
  <c r="A74" i="4" s="1"/>
  <c r="B74" i="4" s="1"/>
  <c r="A73" i="4" a="1"/>
  <c r="A73" i="4" s="1"/>
  <c r="B73" i="4" s="1"/>
  <c r="A72" i="4" a="1"/>
  <c r="A72" i="4" s="1"/>
  <c r="B72" i="4" s="1"/>
  <c r="A71" i="4" a="1"/>
  <c r="A71" i="4" s="1"/>
  <c r="B71" i="4" s="1"/>
  <c r="A70" i="4" a="1"/>
  <c r="A70" i="4" s="1"/>
  <c r="B70" i="4" s="1"/>
  <c r="A69" i="4" a="1"/>
  <c r="A69" i="4" s="1"/>
  <c r="B69" i="4" s="1"/>
  <c r="A68" i="4" a="1"/>
  <c r="A68" i="4" s="1"/>
  <c r="B68" i="4" s="1"/>
  <c r="A67" i="4" a="1"/>
  <c r="A67" i="4" s="1"/>
  <c r="B67" i="4" s="1"/>
  <c r="A66" i="4" a="1"/>
  <c r="A66" i="4" s="1"/>
  <c r="B66" i="4" s="1"/>
  <c r="A65" i="4" a="1"/>
  <c r="A65" i="4" s="1"/>
  <c r="B65" i="4" s="1"/>
  <c r="A64" i="4" a="1"/>
  <c r="A64" i="4" s="1"/>
  <c r="B64" i="4" s="1"/>
  <c r="A63" i="4" a="1"/>
  <c r="A63" i="4" s="1"/>
  <c r="B63" i="4" s="1"/>
  <c r="A62" i="4" a="1"/>
  <c r="A62" i="4" s="1"/>
  <c r="B62" i="4" s="1"/>
  <c r="A61" i="4" a="1"/>
  <c r="A61" i="4" s="1"/>
  <c r="B61" i="4" s="1"/>
  <c r="A60" i="4" a="1"/>
  <c r="A60" i="4" s="1"/>
  <c r="B60" i="4" s="1"/>
  <c r="A59" i="4" a="1"/>
  <c r="A59" i="4" s="1"/>
  <c r="B59" i="4" s="1"/>
  <c r="A58" i="4" a="1"/>
  <c r="A58" i="4" s="1"/>
  <c r="B58" i="4" s="1"/>
  <c r="A57" i="4" a="1"/>
  <c r="A57" i="4" s="1"/>
  <c r="B57" i="4" s="1"/>
  <c r="A56" i="4" a="1"/>
  <c r="A56" i="4" s="1"/>
  <c r="B56" i="4" s="1"/>
  <c r="A55" i="4" a="1"/>
  <c r="A55" i="4" s="1"/>
  <c r="B55" i="4" s="1"/>
  <c r="A54" i="4" a="1"/>
  <c r="A54" i="4" s="1"/>
  <c r="B54" i="4" s="1"/>
  <c r="A53" i="4" a="1"/>
  <c r="A53" i="4" s="1"/>
  <c r="B53" i="4" s="1"/>
  <c r="A52" i="4" a="1"/>
  <c r="A52" i="4" s="1"/>
  <c r="B52" i="4" s="1"/>
  <c r="A51" i="4" a="1"/>
  <c r="A51" i="4" s="1"/>
  <c r="B51" i="4" s="1"/>
  <c r="A50" i="4" a="1"/>
  <c r="A50" i="4" s="1"/>
  <c r="B50" i="4" s="1"/>
  <c r="A49" i="4" a="1"/>
  <c r="A49" i="4" s="1"/>
  <c r="B49" i="4" s="1"/>
  <c r="A48" i="4" a="1"/>
  <c r="A48" i="4" s="1"/>
  <c r="B48" i="4" s="1"/>
  <c r="A47" i="4" a="1"/>
  <c r="A47" i="4" s="1"/>
  <c r="B47" i="4" s="1"/>
  <c r="A46" i="4" a="1"/>
  <c r="A46" i="4" s="1"/>
  <c r="B46" i="4" s="1"/>
  <c r="A45" i="4" a="1"/>
  <c r="A45" i="4" s="1"/>
  <c r="B45" i="4" s="1"/>
  <c r="A44" i="4" a="1"/>
  <c r="A44" i="4" s="1"/>
  <c r="B44" i="4" s="1"/>
  <c r="A43" i="4" a="1"/>
  <c r="A43" i="4" s="1"/>
  <c r="B43" i="4" s="1"/>
  <c r="A42" i="4" a="1"/>
  <c r="A42" i="4" s="1"/>
  <c r="B42" i="4" s="1"/>
  <c r="A41" i="4" a="1"/>
  <c r="A41" i="4" s="1"/>
  <c r="B41" i="4" s="1"/>
  <c r="A40" i="4" a="1"/>
  <c r="A40" i="4" s="1"/>
  <c r="B40" i="4" s="1"/>
  <c r="A39" i="4" a="1"/>
  <c r="A39" i="4" s="1"/>
  <c r="B39" i="4" s="1"/>
  <c r="A38" i="4" a="1"/>
  <c r="A38" i="4" s="1"/>
  <c r="B38" i="4" s="1"/>
  <c r="A37" i="4" a="1"/>
  <c r="A37" i="4" s="1"/>
  <c r="B37" i="4" s="1"/>
  <c r="A36" i="4" a="1"/>
  <c r="A36" i="4" s="1"/>
  <c r="B36" i="4" s="1"/>
  <c r="A35" i="4" a="1"/>
  <c r="A35" i="4" s="1"/>
  <c r="B35" i="4" s="1"/>
  <c r="A34" i="4" a="1"/>
  <c r="A34" i="4" s="1"/>
  <c r="B34" i="4" s="1"/>
  <c r="A33" i="4" a="1"/>
  <c r="A33" i="4" s="1"/>
  <c r="B33" i="4" s="1"/>
  <c r="A32" i="4" a="1"/>
  <c r="A32" i="4" s="1"/>
  <c r="B32" i="4" s="1"/>
  <c r="A31" i="4" a="1"/>
  <c r="A31" i="4" s="1"/>
  <c r="B31" i="4" s="1"/>
  <c r="A30" i="4" a="1"/>
  <c r="A30" i="4" s="1"/>
  <c r="B30" i="4" s="1"/>
  <c r="A29" i="4" a="1"/>
  <c r="A29" i="4" s="1"/>
  <c r="B29" i="4" s="1"/>
  <c r="A28" i="4" a="1"/>
  <c r="A28" i="4" s="1"/>
  <c r="B28" i="4" s="1"/>
  <c r="A27" i="4" a="1"/>
  <c r="A27" i="4" s="1"/>
  <c r="B27" i="4" s="1"/>
  <c r="A26" i="4" a="1"/>
  <c r="A26" i="4" s="1"/>
  <c r="B26" i="4" s="1"/>
  <c r="A25" i="4" a="1"/>
  <c r="A25" i="4" s="1"/>
  <c r="B25" i="4" s="1"/>
  <c r="A24" i="4" a="1"/>
  <c r="A24" i="4" s="1"/>
  <c r="B24" i="4" s="1"/>
  <c r="A23" i="4" a="1"/>
  <c r="A23" i="4" s="1"/>
  <c r="B23" i="4" s="1"/>
  <c r="A22" i="4" a="1"/>
  <c r="A22" i="4" s="1"/>
  <c r="B22" i="4" s="1"/>
  <c r="A21" i="4" a="1"/>
  <c r="A21" i="4" s="1"/>
  <c r="B21" i="4" s="1"/>
  <c r="A20" i="4" a="1"/>
  <c r="A20" i="4" s="1"/>
  <c r="B20" i="4" s="1"/>
  <c r="A19" i="4" a="1"/>
  <c r="A19" i="4" s="1"/>
  <c r="B19" i="4" s="1"/>
  <c r="A18" i="4" a="1"/>
  <c r="A18" i="4" s="1"/>
  <c r="B18" i="4" s="1"/>
  <c r="A17" i="4" a="1"/>
  <c r="A17" i="4" s="1"/>
  <c r="B17" i="4" s="1"/>
  <c r="A16" i="4" a="1"/>
  <c r="A16" i="4" s="1"/>
  <c r="B16" i="4" s="1"/>
  <c r="A15" i="4" a="1"/>
  <c r="A15" i="4" s="1"/>
  <c r="B15" i="4" s="1"/>
  <c r="A14" i="4" a="1"/>
  <c r="A14" i="4" s="1"/>
  <c r="B14" i="4" s="1"/>
  <c r="A13" i="4" a="1"/>
  <c r="A13" i="4" s="1"/>
  <c r="B13" i="4" s="1"/>
  <c r="A12" i="4" a="1"/>
  <c r="A12" i="4" s="1"/>
  <c r="B12" i="4" s="1"/>
  <c r="A11" i="4" a="1"/>
  <c r="A11" i="4" s="1"/>
  <c r="B11" i="4" s="1"/>
  <c r="A10" i="4" a="1"/>
  <c r="A10" i="4" s="1"/>
  <c r="B10" i="4" s="1"/>
  <c r="A9" i="4" a="1"/>
  <c r="A9" i="4" s="1"/>
  <c r="B9" i="4" s="1"/>
  <c r="A8" i="4" a="1"/>
  <c r="A8" i="4" s="1"/>
  <c r="B8" i="4" s="1"/>
  <c r="A7" i="4" a="1"/>
  <c r="A7" i="4" s="1"/>
  <c r="B7" i="4" s="1"/>
  <c r="A6" i="4" a="1"/>
  <c r="A6" i="4" s="1"/>
  <c r="B6" i="4" s="1"/>
  <c r="A5" i="4" a="1"/>
  <c r="A5" i="4" s="1"/>
  <c r="B5" i="4" s="1"/>
  <c r="A4" i="4" a="1"/>
  <c r="A4" i="4" s="1"/>
  <c r="B4" i="4" s="1"/>
  <c r="A3" i="4" a="1"/>
  <c r="A3" i="4" s="1"/>
  <c r="B3" i="4" s="1"/>
  <c r="A2" i="4" a="1"/>
  <c r="A2" i="4" s="1"/>
  <c r="B2" i="4" s="1"/>
  <c r="A250" i="2" a="1"/>
  <c r="A250" i="2" s="1"/>
  <c r="B250" i="2" s="1"/>
  <c r="A249" i="2" a="1"/>
  <c r="A249" i="2" s="1"/>
  <c r="B249" i="2" s="1"/>
  <c r="A248" i="2" a="1"/>
  <c r="A248" i="2" s="1"/>
  <c r="B248" i="2" s="1"/>
  <c r="A247" i="2" a="1"/>
  <c r="A247" i="2" s="1"/>
  <c r="B247" i="2" s="1"/>
  <c r="A246" i="2" a="1"/>
  <c r="A246" i="2" s="1"/>
  <c r="B246" i="2" s="1"/>
  <c r="A245" i="2" a="1"/>
  <c r="A245" i="2" s="1"/>
  <c r="B245" i="2" s="1"/>
  <c r="A244" i="2" a="1"/>
  <c r="A244" i="2" s="1"/>
  <c r="B244" i="2" s="1"/>
  <c r="A243" i="2" a="1"/>
  <c r="A243" i="2" s="1"/>
  <c r="B243" i="2" s="1"/>
  <c r="A242" i="2" a="1"/>
  <c r="A242" i="2" s="1"/>
  <c r="B242" i="2" s="1"/>
  <c r="A241" i="2" a="1"/>
  <c r="A241" i="2" s="1"/>
  <c r="B241" i="2" s="1"/>
  <c r="A240" i="2" a="1"/>
  <c r="A240" i="2" s="1"/>
  <c r="B240" i="2" s="1"/>
  <c r="A239" i="2" a="1"/>
  <c r="A239" i="2" s="1"/>
  <c r="B239" i="2" s="1"/>
  <c r="A238" i="2" a="1"/>
  <c r="A238" i="2" s="1"/>
  <c r="B238" i="2" s="1"/>
  <c r="A237" i="2" a="1"/>
  <c r="A237" i="2" s="1"/>
  <c r="B237" i="2" s="1"/>
  <c r="A236" i="2" a="1"/>
  <c r="A236" i="2" s="1"/>
  <c r="B236" i="2" s="1"/>
  <c r="A235" i="2" a="1"/>
  <c r="A235" i="2" s="1"/>
  <c r="B235" i="2" s="1"/>
  <c r="A234" i="2" a="1"/>
  <c r="A234" i="2" s="1"/>
  <c r="B234" i="2" s="1"/>
  <c r="A233" i="2" a="1"/>
  <c r="A233" i="2" s="1"/>
  <c r="B233" i="2" s="1"/>
  <c r="A232" i="2" a="1"/>
  <c r="A232" i="2" s="1"/>
  <c r="B232" i="2" s="1"/>
  <c r="A231" i="2" a="1"/>
  <c r="A231" i="2" s="1"/>
  <c r="B231" i="2" s="1"/>
  <c r="A230" i="2" a="1"/>
  <c r="A230" i="2" s="1"/>
  <c r="B230" i="2" s="1"/>
  <c r="A229" i="2" a="1"/>
  <c r="A229" i="2" s="1"/>
  <c r="B229" i="2" s="1"/>
  <c r="A228" i="2" a="1"/>
  <c r="A228" i="2" s="1"/>
  <c r="B228" i="2" s="1"/>
  <c r="A227" i="2" a="1"/>
  <c r="A227" i="2" s="1"/>
  <c r="B227" i="2" s="1"/>
  <c r="A226" i="2" a="1"/>
  <c r="A226" i="2" s="1"/>
  <c r="B226" i="2" s="1"/>
  <c r="A225" i="2" a="1"/>
  <c r="A225" i="2" s="1"/>
  <c r="B225" i="2" s="1"/>
  <c r="A224" i="2" a="1"/>
  <c r="A224" i="2" s="1"/>
  <c r="B224" i="2" s="1"/>
  <c r="A223" i="2" a="1"/>
  <c r="A223" i="2" s="1"/>
  <c r="B223" i="2" s="1"/>
  <c r="A222" i="2" a="1"/>
  <c r="A222" i="2" s="1"/>
  <c r="B222" i="2" s="1"/>
  <c r="A221" i="2" a="1"/>
  <c r="A221" i="2" s="1"/>
  <c r="B221" i="2" s="1"/>
  <c r="A220" i="2" a="1"/>
  <c r="A220" i="2" s="1"/>
  <c r="B220" i="2" s="1"/>
  <c r="A219" i="2" a="1"/>
  <c r="A219" i="2" s="1"/>
  <c r="B219" i="2" s="1"/>
  <c r="A218" i="2" a="1"/>
  <c r="A218" i="2" s="1"/>
  <c r="B218" i="2" s="1"/>
  <c r="A217" i="2" a="1"/>
  <c r="A217" i="2" s="1"/>
  <c r="B217" i="2" s="1"/>
  <c r="A216" i="2" a="1"/>
  <c r="A216" i="2" s="1"/>
  <c r="B216" i="2" s="1"/>
  <c r="A215" i="2" a="1"/>
  <c r="A215" i="2" s="1"/>
  <c r="B215" i="2" s="1"/>
  <c r="A214" i="2" a="1"/>
  <c r="A214" i="2" s="1"/>
  <c r="B214" i="2" s="1"/>
  <c r="A213" i="2" a="1"/>
  <c r="A213" i="2" s="1"/>
  <c r="B213" i="2" s="1"/>
  <c r="A212" i="2" a="1"/>
  <c r="A212" i="2" s="1"/>
  <c r="B212" i="2" s="1"/>
  <c r="A211" i="2" a="1"/>
  <c r="A211" i="2" s="1"/>
  <c r="B211" i="2" s="1"/>
  <c r="A210" i="2" a="1"/>
  <c r="A210" i="2" s="1"/>
  <c r="B210" i="2" s="1"/>
  <c r="A209" i="2" a="1"/>
  <c r="A209" i="2" s="1"/>
  <c r="B209" i="2" s="1"/>
  <c r="A208" i="2" a="1"/>
  <c r="A208" i="2" s="1"/>
  <c r="B208" i="2" s="1"/>
  <c r="A207" i="2" a="1"/>
  <c r="A207" i="2" s="1"/>
  <c r="B207" i="2" s="1"/>
  <c r="A206" i="2" a="1"/>
  <c r="A206" i="2" s="1"/>
  <c r="B206" i="2" s="1"/>
  <c r="A205" i="2" a="1"/>
  <c r="A205" i="2" s="1"/>
  <c r="B205" i="2" s="1"/>
  <c r="A204" i="2" a="1"/>
  <c r="A204" i="2" s="1"/>
  <c r="B204" i="2" s="1"/>
  <c r="A203" i="2" a="1"/>
  <c r="A203" i="2" s="1"/>
  <c r="B203" i="2" s="1"/>
  <c r="A202" i="2" a="1"/>
  <c r="A202" i="2" s="1"/>
  <c r="B202" i="2" s="1"/>
  <c r="A201" i="2" a="1"/>
  <c r="A201" i="2" s="1"/>
  <c r="B201" i="2" s="1"/>
  <c r="A200" i="2" a="1"/>
  <c r="A200" i="2" s="1"/>
  <c r="B200" i="2" s="1"/>
  <c r="A199" i="2" a="1"/>
  <c r="A199" i="2" s="1"/>
  <c r="B199" i="2" s="1"/>
  <c r="A198" i="2" a="1"/>
  <c r="A198" i="2" s="1"/>
  <c r="B198" i="2" s="1"/>
  <c r="A197" i="2" a="1"/>
  <c r="A197" i="2" s="1"/>
  <c r="B197" i="2" s="1"/>
  <c r="A196" i="2" a="1"/>
  <c r="A196" i="2" s="1"/>
  <c r="B196" i="2" s="1"/>
  <c r="A195" i="2" a="1"/>
  <c r="A195" i="2" s="1"/>
  <c r="B195" i="2" s="1"/>
  <c r="A194" i="2" a="1"/>
  <c r="A194" i="2" s="1"/>
  <c r="B194" i="2" s="1"/>
  <c r="A193" i="2" a="1"/>
  <c r="A193" i="2" s="1"/>
  <c r="B193" i="2" s="1"/>
  <c r="A192" i="2" a="1"/>
  <c r="A192" i="2" s="1"/>
  <c r="B192" i="2" s="1"/>
  <c r="A191" i="2" a="1"/>
  <c r="A191" i="2" s="1"/>
  <c r="B191" i="2" s="1"/>
  <c r="A190" i="2" a="1"/>
  <c r="A190" i="2" s="1"/>
  <c r="B190" i="2" s="1"/>
  <c r="A189" i="2" a="1"/>
  <c r="A189" i="2" s="1"/>
  <c r="B189" i="2" s="1"/>
  <c r="A188" i="2" a="1"/>
  <c r="A188" i="2" s="1"/>
  <c r="B188" i="2" s="1"/>
  <c r="A187" i="2" a="1"/>
  <c r="A187" i="2" s="1"/>
  <c r="B187" i="2" s="1"/>
  <c r="A186" i="2" a="1"/>
  <c r="A186" i="2" s="1"/>
  <c r="B186" i="2" s="1"/>
  <c r="A185" i="2" a="1"/>
  <c r="A185" i="2" s="1"/>
  <c r="B185" i="2" s="1"/>
  <c r="A184" i="2" a="1"/>
  <c r="A184" i="2" s="1"/>
  <c r="B184" i="2" s="1"/>
  <c r="A183" i="2" a="1"/>
  <c r="A183" i="2" s="1"/>
  <c r="B183" i="2" s="1"/>
  <c r="A182" i="2" a="1"/>
  <c r="A182" i="2" s="1"/>
  <c r="B182" i="2" s="1"/>
  <c r="A181" i="2" a="1"/>
  <c r="A181" i="2" s="1"/>
  <c r="B181" i="2" s="1"/>
  <c r="A180" i="2" a="1"/>
  <c r="A180" i="2" s="1"/>
  <c r="B180" i="2" s="1"/>
  <c r="A179" i="2" a="1"/>
  <c r="A179" i="2" s="1"/>
  <c r="B179" i="2" s="1"/>
  <c r="A178" i="2" a="1"/>
  <c r="A178" i="2" s="1"/>
  <c r="B178" i="2" s="1"/>
  <c r="A177" i="2" a="1"/>
  <c r="A177" i="2" s="1"/>
  <c r="B177" i="2" s="1"/>
  <c r="A176" i="2" a="1"/>
  <c r="A176" i="2" s="1"/>
  <c r="B176" i="2" s="1"/>
  <c r="A175" i="2" a="1"/>
  <c r="A175" i="2" s="1"/>
  <c r="B175" i="2" s="1"/>
  <c r="A174" i="2" a="1"/>
  <c r="A174" i="2" s="1"/>
  <c r="B174" i="2" s="1"/>
  <c r="A173" i="2" a="1"/>
  <c r="A173" i="2" s="1"/>
  <c r="B173" i="2" s="1"/>
  <c r="A172" i="2" a="1"/>
  <c r="A172" i="2" s="1"/>
  <c r="B172" i="2" s="1"/>
  <c r="A171" i="2" a="1"/>
  <c r="A171" i="2" s="1"/>
  <c r="B171" i="2" s="1"/>
  <c r="A170" i="2" a="1"/>
  <c r="A170" i="2" s="1"/>
  <c r="B170" i="2" s="1"/>
  <c r="A169" i="2" a="1"/>
  <c r="A169" i="2" s="1"/>
  <c r="B169" i="2" s="1"/>
  <c r="A168" i="2" a="1"/>
  <c r="A168" i="2" s="1"/>
  <c r="B168" i="2" s="1"/>
  <c r="A167" i="2" a="1"/>
  <c r="A167" i="2" s="1"/>
  <c r="B167" i="2" s="1"/>
  <c r="A166" i="2" a="1"/>
  <c r="A166" i="2" s="1"/>
  <c r="B166" i="2" s="1"/>
  <c r="A165" i="2" a="1"/>
  <c r="A165" i="2" s="1"/>
  <c r="B165" i="2" s="1"/>
  <c r="A164" i="2" a="1"/>
  <c r="A164" i="2" s="1"/>
  <c r="B164" i="2" s="1"/>
  <c r="A163" i="2" a="1"/>
  <c r="A163" i="2" s="1"/>
  <c r="B163" i="2" s="1"/>
  <c r="A162" i="2" a="1"/>
  <c r="A162" i="2" s="1"/>
  <c r="B162" i="2" s="1"/>
  <c r="A161" i="2" a="1"/>
  <c r="A161" i="2" s="1"/>
  <c r="B161" i="2" s="1"/>
  <c r="A160" i="2" a="1"/>
  <c r="A160" i="2" s="1"/>
  <c r="B160" i="2" s="1"/>
  <c r="A159" i="2" a="1"/>
  <c r="A159" i="2" s="1"/>
  <c r="B159" i="2" s="1"/>
  <c r="A158" i="2" a="1"/>
  <c r="A158" i="2" s="1"/>
  <c r="B158" i="2" s="1"/>
  <c r="A157" i="2" a="1"/>
  <c r="A157" i="2" s="1"/>
  <c r="B157" i="2" s="1"/>
  <c r="A156" i="2" a="1"/>
  <c r="A156" i="2" s="1"/>
  <c r="B156" i="2" s="1"/>
  <c r="A155" i="2" a="1"/>
  <c r="A155" i="2" s="1"/>
  <c r="B155" i="2" s="1"/>
  <c r="A154" i="2" a="1"/>
  <c r="A154" i="2" s="1"/>
  <c r="B154" i="2" s="1"/>
  <c r="A153" i="2" a="1"/>
  <c r="A153" i="2" s="1"/>
  <c r="B153" i="2" s="1"/>
  <c r="A152" i="2" a="1"/>
  <c r="A152" i="2" s="1"/>
  <c r="B152" i="2" s="1"/>
  <c r="A151" i="2" a="1"/>
  <c r="A151" i="2" s="1"/>
  <c r="B151" i="2" s="1"/>
  <c r="A150" i="2" a="1"/>
  <c r="A150" i="2" s="1"/>
  <c r="B150" i="2" s="1"/>
  <c r="A149" i="2" a="1"/>
  <c r="A149" i="2" s="1"/>
  <c r="B149" i="2" s="1"/>
  <c r="A148" i="2" a="1"/>
  <c r="A148" i="2" s="1"/>
  <c r="B148" i="2" s="1"/>
  <c r="A147" i="2" a="1"/>
  <c r="A147" i="2" s="1"/>
  <c r="B147" i="2" s="1"/>
  <c r="A146" i="2" a="1"/>
  <c r="A146" i="2" s="1"/>
  <c r="B146" i="2" s="1"/>
  <c r="A145" i="2" a="1"/>
  <c r="A145" i="2" s="1"/>
  <c r="B145" i="2" s="1"/>
  <c r="A144" i="2" a="1"/>
  <c r="A144" i="2" s="1"/>
  <c r="B144" i="2" s="1"/>
  <c r="A143" i="2" a="1"/>
  <c r="A143" i="2" s="1"/>
  <c r="B143" i="2" s="1"/>
  <c r="A142" i="2" a="1"/>
  <c r="A142" i="2" s="1"/>
  <c r="B142" i="2" s="1"/>
  <c r="A141" i="2" a="1"/>
  <c r="A141" i="2" s="1"/>
  <c r="B141" i="2" s="1"/>
  <c r="A140" i="2" a="1"/>
  <c r="A140" i="2" s="1"/>
  <c r="B140" i="2" s="1"/>
  <c r="A139" i="2" a="1"/>
  <c r="A139" i="2" s="1"/>
  <c r="B139" i="2" s="1"/>
  <c r="A138" i="2" a="1"/>
  <c r="A138" i="2" s="1"/>
  <c r="B138" i="2" s="1"/>
  <c r="A137" i="2" a="1"/>
  <c r="A137" i="2" s="1"/>
  <c r="B137" i="2" s="1"/>
  <c r="A136" i="2" a="1"/>
  <c r="A136" i="2" s="1"/>
  <c r="B136" i="2" s="1"/>
  <c r="A135" i="2" a="1"/>
  <c r="A135" i="2" s="1"/>
  <c r="B135" i="2" s="1"/>
  <c r="A134" i="2" a="1"/>
  <c r="A134" i="2" s="1"/>
  <c r="B134" i="2" s="1"/>
  <c r="A133" i="2" a="1"/>
  <c r="A133" i="2" s="1"/>
  <c r="B133" i="2" s="1"/>
  <c r="A132" i="2" a="1"/>
  <c r="A132" i="2" s="1"/>
  <c r="B132" i="2" s="1"/>
  <c r="A131" i="2" a="1"/>
  <c r="A131" i="2" s="1"/>
  <c r="B131" i="2" s="1"/>
  <c r="A130" i="2" a="1"/>
  <c r="A130" i="2" s="1"/>
  <c r="B130" i="2" s="1"/>
  <c r="A129" i="2" a="1"/>
  <c r="A129" i="2" s="1"/>
  <c r="B129" i="2" s="1"/>
  <c r="A128" i="2" a="1"/>
  <c r="A128" i="2" s="1"/>
  <c r="B128" i="2" s="1"/>
  <c r="A127" i="2" a="1"/>
  <c r="A127" i="2" s="1"/>
  <c r="B127" i="2" s="1"/>
  <c r="A126" i="2" a="1"/>
  <c r="A126" i="2" s="1"/>
  <c r="B126" i="2" s="1"/>
  <c r="A125" i="2" a="1"/>
  <c r="A125" i="2" s="1"/>
  <c r="B125" i="2" s="1"/>
  <c r="A124" i="2" a="1"/>
  <c r="A124" i="2" s="1"/>
  <c r="B124" i="2" s="1"/>
  <c r="A123" i="2" a="1"/>
  <c r="A123" i="2" s="1"/>
  <c r="B123" i="2" s="1"/>
  <c r="A122" i="2" a="1"/>
  <c r="A122" i="2" s="1"/>
  <c r="B122" i="2" s="1"/>
  <c r="A121" i="2" a="1"/>
  <c r="A121" i="2" s="1"/>
  <c r="B121" i="2" s="1"/>
  <c r="A120" i="2" a="1"/>
  <c r="A120" i="2" s="1"/>
  <c r="B120" i="2" s="1"/>
  <c r="A119" i="2" a="1"/>
  <c r="A119" i="2" s="1"/>
  <c r="B119" i="2" s="1"/>
  <c r="A118" i="2" a="1"/>
  <c r="A118" i="2" s="1"/>
  <c r="B118" i="2" s="1"/>
  <c r="A117" i="2" a="1"/>
  <c r="A117" i="2" s="1"/>
  <c r="B117" i="2" s="1"/>
  <c r="A116" i="2" a="1"/>
  <c r="A116" i="2" s="1"/>
  <c r="B116" i="2" s="1"/>
  <c r="A115" i="2" a="1"/>
  <c r="A115" i="2" s="1"/>
  <c r="B115" i="2" s="1"/>
  <c r="A114" i="2" a="1"/>
  <c r="A114" i="2" s="1"/>
  <c r="B114" i="2" s="1"/>
  <c r="A113" i="2" a="1"/>
  <c r="A113" i="2" s="1"/>
  <c r="B113" i="2" s="1"/>
  <c r="A112" i="2" a="1"/>
  <c r="A112" i="2" s="1"/>
  <c r="B112" i="2" s="1"/>
  <c r="A111" i="2" a="1"/>
  <c r="A111" i="2" s="1"/>
  <c r="B111" i="2" s="1"/>
  <c r="A110" i="2" a="1"/>
  <c r="A110" i="2" s="1"/>
  <c r="B110" i="2" s="1"/>
  <c r="A109" i="2" a="1"/>
  <c r="A109" i="2" s="1"/>
  <c r="B109" i="2" s="1"/>
  <c r="A108" i="2" a="1"/>
  <c r="A108" i="2" s="1"/>
  <c r="B108" i="2" s="1"/>
  <c r="A107" i="2" a="1"/>
  <c r="A107" i="2" s="1"/>
  <c r="B107" i="2" s="1"/>
  <c r="A106" i="2" a="1"/>
  <c r="A106" i="2" s="1"/>
  <c r="B106" i="2" s="1"/>
  <c r="A105" i="2" a="1"/>
  <c r="A105" i="2" s="1"/>
  <c r="B105" i="2" s="1"/>
  <c r="A104" i="2" a="1"/>
  <c r="A104" i="2" s="1"/>
  <c r="B104" i="2" s="1"/>
  <c r="A103" i="2" a="1"/>
  <c r="A103" i="2" s="1"/>
  <c r="B103" i="2" s="1"/>
  <c r="A102" i="2" a="1"/>
  <c r="A102" i="2" s="1"/>
  <c r="B102" i="2" s="1"/>
  <c r="A101" i="2" a="1"/>
  <c r="A101" i="2" s="1"/>
  <c r="B101" i="2" s="1"/>
  <c r="A100" i="2" a="1"/>
  <c r="A100" i="2" s="1"/>
  <c r="B100" i="2" s="1"/>
  <c r="A99" i="2" a="1"/>
  <c r="A99" i="2" s="1"/>
  <c r="B99" i="2" s="1"/>
  <c r="A98" i="2" a="1"/>
  <c r="A98" i="2" s="1"/>
  <c r="B98" i="2" s="1"/>
  <c r="A97" i="2" a="1"/>
  <c r="A97" i="2" s="1"/>
  <c r="B97" i="2" s="1"/>
  <c r="A96" i="2" a="1"/>
  <c r="A96" i="2" s="1"/>
  <c r="B96" i="2" s="1"/>
  <c r="A95" i="2" a="1"/>
  <c r="A95" i="2" s="1"/>
  <c r="B95" i="2" s="1"/>
  <c r="A94" i="2" a="1"/>
  <c r="A94" i="2" s="1"/>
  <c r="B94" i="2" s="1"/>
  <c r="A93" i="2" a="1"/>
  <c r="A93" i="2" s="1"/>
  <c r="B93" i="2" s="1"/>
  <c r="A92" i="2" a="1"/>
  <c r="A92" i="2" s="1"/>
  <c r="B92" i="2" s="1"/>
  <c r="A91" i="2" a="1"/>
  <c r="A91" i="2" s="1"/>
  <c r="B91" i="2" s="1"/>
  <c r="A90" i="2" a="1"/>
  <c r="A90" i="2" s="1"/>
  <c r="B90" i="2" s="1"/>
  <c r="A89" i="2" a="1"/>
  <c r="A89" i="2" s="1"/>
  <c r="B89" i="2" s="1"/>
  <c r="A88" i="2" a="1"/>
  <c r="A88" i="2" s="1"/>
  <c r="B88" i="2" s="1"/>
  <c r="A87" i="2" a="1"/>
  <c r="A87" i="2" s="1"/>
  <c r="B87" i="2" s="1"/>
  <c r="A86" i="2" a="1"/>
  <c r="A86" i="2" s="1"/>
  <c r="B86" i="2" s="1"/>
  <c r="A85" i="2" a="1"/>
  <c r="A85" i="2" s="1"/>
  <c r="B85" i="2" s="1"/>
  <c r="A84" i="2" a="1"/>
  <c r="A84" i="2" s="1"/>
  <c r="B84" i="2" s="1"/>
  <c r="A83" i="2" a="1"/>
  <c r="A83" i="2" s="1"/>
  <c r="B83" i="2" s="1"/>
  <c r="A82" i="2" a="1"/>
  <c r="A82" i="2" s="1"/>
  <c r="B82" i="2" s="1"/>
  <c r="A81" i="2" a="1"/>
  <c r="A81" i="2" s="1"/>
  <c r="B81" i="2" s="1"/>
  <c r="A80" i="2" a="1"/>
  <c r="A80" i="2" s="1"/>
  <c r="B80" i="2" s="1"/>
  <c r="A79" i="2" a="1"/>
  <c r="A79" i="2" s="1"/>
  <c r="B79" i="2" s="1"/>
  <c r="A78" i="2" a="1"/>
  <c r="A78" i="2" s="1"/>
  <c r="B78" i="2" s="1"/>
  <c r="A77" i="2" a="1"/>
  <c r="A77" i="2" s="1"/>
  <c r="B77" i="2" s="1"/>
  <c r="A76" i="2" a="1"/>
  <c r="A76" i="2" s="1"/>
  <c r="B76" i="2" s="1"/>
  <c r="A75" i="2" a="1"/>
  <c r="A75" i="2" s="1"/>
  <c r="B75" i="2" s="1"/>
  <c r="A74" i="2" a="1"/>
  <c r="A74" i="2" s="1"/>
  <c r="B74" i="2" s="1"/>
  <c r="A73" i="2" a="1"/>
  <c r="A73" i="2" s="1"/>
  <c r="B73" i="2" s="1"/>
  <c r="A72" i="2" a="1"/>
  <c r="A72" i="2" s="1"/>
  <c r="B72" i="2" s="1"/>
  <c r="A71" i="2" a="1"/>
  <c r="A71" i="2" s="1"/>
  <c r="B71" i="2" s="1"/>
  <c r="A70" i="2" a="1"/>
  <c r="A70" i="2" s="1"/>
  <c r="B70" i="2" s="1"/>
  <c r="A69" i="2" a="1"/>
  <c r="A69" i="2" s="1"/>
  <c r="B69" i="2" s="1"/>
  <c r="A68" i="2" a="1"/>
  <c r="A68" i="2" s="1"/>
  <c r="B68" i="2" s="1"/>
  <c r="A67" i="2" a="1"/>
  <c r="A67" i="2" s="1"/>
  <c r="B67" i="2" s="1"/>
  <c r="A66" i="2" a="1"/>
  <c r="A66" i="2" s="1"/>
  <c r="B66" i="2" s="1"/>
  <c r="A65" i="2" a="1"/>
  <c r="A65" i="2" s="1"/>
  <c r="B65" i="2" s="1"/>
  <c r="A64" i="2" a="1"/>
  <c r="A64" i="2" s="1"/>
  <c r="B64" i="2" s="1"/>
  <c r="A63" i="2" a="1"/>
  <c r="A63" i="2" s="1"/>
  <c r="B63" i="2" s="1"/>
  <c r="A62" i="2" a="1"/>
  <c r="A62" i="2" s="1"/>
  <c r="B62" i="2" s="1"/>
  <c r="A61" i="2" a="1"/>
  <c r="A61" i="2" s="1"/>
  <c r="B61" i="2" s="1"/>
  <c r="A60" i="2" a="1"/>
  <c r="A60" i="2" s="1"/>
  <c r="B60" i="2" s="1"/>
  <c r="A59" i="2" a="1"/>
  <c r="A59" i="2" s="1"/>
  <c r="B59" i="2" s="1"/>
  <c r="A58" i="2" a="1"/>
  <c r="A58" i="2" s="1"/>
  <c r="B58" i="2" s="1"/>
  <c r="A57" i="2" a="1"/>
  <c r="A57" i="2" s="1"/>
  <c r="B57" i="2" s="1"/>
  <c r="A56" i="2" a="1"/>
  <c r="A56" i="2" s="1"/>
  <c r="B56" i="2" s="1"/>
  <c r="A55" i="2" a="1"/>
  <c r="A55" i="2" s="1"/>
  <c r="B55" i="2" s="1"/>
  <c r="A54" i="2" a="1"/>
  <c r="A54" i="2" s="1"/>
  <c r="B54" i="2" s="1"/>
  <c r="A53" i="2" a="1"/>
  <c r="A53" i="2" s="1"/>
  <c r="B53" i="2" s="1"/>
  <c r="A52" i="2" a="1"/>
  <c r="A52" i="2" s="1"/>
  <c r="B52" i="2" s="1"/>
  <c r="A51" i="2" a="1"/>
  <c r="A51" i="2" s="1"/>
  <c r="B51" i="2" s="1"/>
  <c r="A50" i="2" a="1"/>
  <c r="A50" i="2" s="1"/>
  <c r="B50" i="2" s="1"/>
  <c r="A49" i="2" a="1"/>
  <c r="A49" i="2" s="1"/>
  <c r="B49" i="2" s="1"/>
  <c r="A48" i="2" a="1"/>
  <c r="A48" i="2" s="1"/>
  <c r="B48" i="2" s="1"/>
  <c r="A47" i="2" a="1"/>
  <c r="A47" i="2" s="1"/>
  <c r="B47" i="2" s="1"/>
  <c r="A46" i="2" a="1"/>
  <c r="A46" i="2" s="1"/>
  <c r="B46" i="2" s="1"/>
  <c r="A45" i="2" a="1"/>
  <c r="A45" i="2" s="1"/>
  <c r="B45" i="2" s="1"/>
  <c r="A44" i="2" a="1"/>
  <c r="A44" i="2" s="1"/>
  <c r="B44" i="2" s="1"/>
  <c r="A43" i="2" a="1"/>
  <c r="A43" i="2" s="1"/>
  <c r="B43" i="2" s="1"/>
  <c r="A42" i="2" a="1"/>
  <c r="A42" i="2" s="1"/>
  <c r="B42" i="2" s="1"/>
  <c r="A41" i="2" a="1"/>
  <c r="A41" i="2" s="1"/>
  <c r="B41" i="2" s="1"/>
  <c r="A40" i="2" a="1"/>
  <c r="A40" i="2" s="1"/>
  <c r="B40" i="2" s="1"/>
  <c r="A39" i="2" a="1"/>
  <c r="A39" i="2" s="1"/>
  <c r="B39" i="2" s="1"/>
  <c r="A38" i="2" a="1"/>
  <c r="A38" i="2" s="1"/>
  <c r="B38" i="2" s="1"/>
  <c r="A37" i="2" a="1"/>
  <c r="A37" i="2" s="1"/>
  <c r="B37" i="2" s="1"/>
  <c r="A36" i="2" a="1"/>
  <c r="A36" i="2" s="1"/>
  <c r="B36" i="2" s="1"/>
  <c r="A35" i="2" a="1"/>
  <c r="A35" i="2" s="1"/>
  <c r="B35" i="2" s="1"/>
  <c r="A34" i="2" a="1"/>
  <c r="A34" i="2" s="1"/>
  <c r="B34" i="2" s="1"/>
  <c r="A33" i="2" a="1"/>
  <c r="A33" i="2" s="1"/>
  <c r="B33" i="2" s="1"/>
  <c r="A32" i="2" a="1"/>
  <c r="A32" i="2" s="1"/>
  <c r="B32" i="2" s="1"/>
  <c r="A31" i="2" a="1"/>
  <c r="A31" i="2" s="1"/>
  <c r="B31" i="2" s="1"/>
  <c r="A30" i="2" a="1"/>
  <c r="A30" i="2" s="1"/>
  <c r="B30" i="2" s="1"/>
  <c r="A29" i="2" a="1"/>
  <c r="A29" i="2" s="1"/>
  <c r="B29" i="2" s="1"/>
  <c r="A28" i="2" a="1"/>
  <c r="A28" i="2" s="1"/>
  <c r="B28" i="2" s="1"/>
  <c r="A27" i="2" a="1"/>
  <c r="A27" i="2" s="1"/>
  <c r="B27" i="2" s="1"/>
  <c r="A26" i="2" a="1"/>
  <c r="A26" i="2" s="1"/>
  <c r="B26" i="2" s="1"/>
  <c r="A25" i="2" a="1"/>
  <c r="A25" i="2" s="1"/>
  <c r="B25" i="2" s="1"/>
  <c r="A24" i="2" a="1"/>
  <c r="A24" i="2" s="1"/>
  <c r="B24" i="2" s="1"/>
  <c r="A23" i="2" a="1"/>
  <c r="A23" i="2" s="1"/>
  <c r="B23" i="2" s="1"/>
  <c r="A22" i="2" a="1"/>
  <c r="A22" i="2" s="1"/>
  <c r="B22" i="2" s="1"/>
  <c r="A21" i="2" a="1"/>
  <c r="A21" i="2" s="1"/>
  <c r="B21" i="2" s="1"/>
  <c r="A20" i="2" a="1"/>
  <c r="A20" i="2" s="1"/>
  <c r="B20" i="2" s="1"/>
  <c r="A19" i="2" a="1"/>
  <c r="A19" i="2" s="1"/>
  <c r="B19" i="2" s="1"/>
  <c r="A18" i="2" a="1"/>
  <c r="A18" i="2" s="1"/>
  <c r="B18" i="2" s="1"/>
  <c r="A17" i="2" a="1"/>
  <c r="A17" i="2" s="1"/>
  <c r="B17" i="2" s="1"/>
  <c r="A16" i="2" a="1"/>
  <c r="A16" i="2" s="1"/>
  <c r="B16" i="2" s="1"/>
  <c r="A15" i="2" a="1"/>
  <c r="A15" i="2" s="1"/>
  <c r="B15" i="2" s="1"/>
  <c r="A14" i="2" a="1"/>
  <c r="A14" i="2" s="1"/>
  <c r="B14" i="2" s="1"/>
  <c r="A13" i="2" a="1"/>
  <c r="A13" i="2" s="1"/>
  <c r="B13" i="2" s="1"/>
  <c r="A12" i="2" a="1"/>
  <c r="A12" i="2" s="1"/>
  <c r="B12" i="2" s="1"/>
  <c r="A11" i="2" a="1"/>
  <c r="A11" i="2" s="1"/>
  <c r="B11" i="2" s="1"/>
  <c r="A10" i="2" a="1"/>
  <c r="A10" i="2" s="1"/>
  <c r="B10" i="2" s="1"/>
  <c r="A9" i="2" a="1"/>
  <c r="A9" i="2" s="1"/>
  <c r="B9" i="2" s="1"/>
  <c r="A8" i="2" a="1"/>
  <c r="A8" i="2" s="1"/>
  <c r="B8" i="2" s="1"/>
  <c r="A7" i="2" a="1"/>
  <c r="A7" i="2" s="1"/>
  <c r="B7" i="2" s="1"/>
  <c r="A6" i="2" a="1"/>
  <c r="A6" i="2" s="1"/>
  <c r="B6" i="2" s="1"/>
  <c r="A5" i="2" a="1"/>
  <c r="A5" i="2" s="1"/>
  <c r="B5" i="2" s="1"/>
  <c r="A4" i="2" a="1"/>
  <c r="A4" i="2" s="1"/>
  <c r="B4" i="2" s="1"/>
  <c r="A3" i="2" a="1"/>
  <c r="A3" i="2" s="1"/>
  <c r="B3" i="2" s="1"/>
  <c r="A2" i="2" a="1"/>
  <c r="A2" i="2" s="1"/>
  <c r="B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<sst xmlns="http://schemas.openxmlformats.org/spreadsheetml/2006/main" count="575" uniqueCount="343">
  <si>
    <t>Code</t>
  </si>
  <si>
    <t>Ending</t>
  </si>
  <si>
    <t>MAX</t>
  </si>
  <si>
    <t>DAILY INVENTORY BOOK OF BAR</t>
  </si>
  <si>
    <t>Location: Highlands Coffee Aeon Bình Tân</t>
  </si>
  <si>
    <t>Item's Name/ Tên sản phẩm</t>
  </si>
  <si>
    <t>Unit</t>
  </si>
  <si>
    <t>Open</t>
  </si>
  <si>
    <t>Stock in</t>
  </si>
  <si>
    <t>TF IN</t>
  </si>
  <si>
    <t>WO</t>
  </si>
  <si>
    <t>TF OUT</t>
  </si>
  <si>
    <t>Cake - Bánh ngọt</t>
  </si>
  <si>
    <t>SRTFC04020001</t>
  </si>
  <si>
    <t>Pcs</t>
  </si>
  <si>
    <t>SRTFC04020045</t>
  </si>
  <si>
    <t>SRTFC04020118</t>
  </si>
  <si>
    <t>SRTFC04020022</t>
  </si>
  <si>
    <t>SRTFC04020043</t>
  </si>
  <si>
    <t>SRTFD04020018</t>
  </si>
  <si>
    <t>Cream Choux Highlands - HCM</t>
  </si>
  <si>
    <t>SRTFD04010002</t>
  </si>
  <si>
    <t>SRTFD04020027</t>
  </si>
  <si>
    <t>Highlands Salted Egg Sponge Cake</t>
  </si>
  <si>
    <t>SRTFD04020041</t>
  </si>
  <si>
    <t>Coffee &amp; Coffee Bag - Cà phê</t>
  </si>
  <si>
    <t>PASFD01010056</t>
  </si>
  <si>
    <t xml:space="preserve">Espresso Full City Roast 1Kg - Bean                           </t>
  </si>
  <si>
    <t>Kg</t>
  </si>
  <si>
    <t>SRTFD08020035</t>
  </si>
  <si>
    <t>SRTFD08020037</t>
  </si>
  <si>
    <t>Drinks -Thức uống</t>
  </si>
  <si>
    <t>SRTFD07030002</t>
  </si>
  <si>
    <t>Condensed Milk - Sua Dac</t>
  </si>
  <si>
    <t>Box</t>
  </si>
  <si>
    <t>SRTFC07030003</t>
  </si>
  <si>
    <t>Fresh Milk - Sua Tuoi</t>
  </si>
  <si>
    <t>Liter</t>
  </si>
  <si>
    <t>SRTFC07020008</t>
  </si>
  <si>
    <t>SRTFC07020018</t>
  </si>
  <si>
    <t>Whipping cream NDC-Kem NDC 454g</t>
  </si>
  <si>
    <t>SRTFC07020026</t>
  </si>
  <si>
    <t>Kgs</t>
  </si>
  <si>
    <t>SRTFD01010002</t>
  </si>
  <si>
    <t>Coca Cola Coke 330Ml</t>
  </si>
  <si>
    <t>Can</t>
  </si>
  <si>
    <t>SRTFD01060002</t>
  </si>
  <si>
    <t>Dasani Water</t>
  </si>
  <si>
    <t>Bot</t>
  </si>
  <si>
    <t>Raw</t>
  </si>
  <si>
    <t>SRTFD01040015</t>
  </si>
  <si>
    <t>Freeze Mix 1kg AFI</t>
  </si>
  <si>
    <t>SRTFD01050031</t>
  </si>
  <si>
    <t>Green Tea Mix 500gr AFI</t>
  </si>
  <si>
    <t>SRTFD01030018</t>
  </si>
  <si>
    <t>SRTFD01030028</t>
  </si>
  <si>
    <t>SRTFD01050027</t>
  </si>
  <si>
    <t>SRTFD03040027</t>
  </si>
  <si>
    <t>Lotus Seed in Syrup GW 850gr, Net 470gr</t>
  </si>
  <si>
    <t>Set</t>
  </si>
  <si>
    <t>SRTFD03020011</t>
  </si>
  <si>
    <t xml:space="preserve">Canned Lychee </t>
  </si>
  <si>
    <t>SRTFD03020009</t>
  </si>
  <si>
    <t>Dao Nua Trai Dong Hop 820g</t>
  </si>
  <si>
    <t>SRTFD03020012</t>
  </si>
  <si>
    <t>Qua Dao Ngam Duong - Rhodes 825g</t>
  </si>
  <si>
    <t>SRTFD03040023</t>
  </si>
  <si>
    <t xml:space="preserve">Canned Red Kidney Beans </t>
  </si>
  <si>
    <t>SRTFD04070021</t>
  </si>
  <si>
    <t xml:space="preserve">Lychee Jelly Powder </t>
  </si>
  <si>
    <t>SRTFD04070028</t>
  </si>
  <si>
    <t xml:space="preserve">Jelly Powder 140gr AL Bag </t>
  </si>
  <si>
    <t>Bag</t>
  </si>
  <si>
    <t>SRTFD03040031</t>
  </si>
  <si>
    <t>Waterchestnut covered with flour  (250gr/bag)</t>
  </si>
  <si>
    <t>SRTFD03020050</t>
  </si>
  <si>
    <t>LTO Campaign</t>
  </si>
  <si>
    <t>SRTFD03020045</t>
  </si>
  <si>
    <t>SRTFD04070030</t>
  </si>
  <si>
    <t>3Q Sea Jelly White - Tran Chau Trang</t>
  </si>
  <si>
    <t>Tea - Trà</t>
  </si>
  <si>
    <t>SRTFD01050021</t>
  </si>
  <si>
    <t>Tra tui loc huong dao</t>
  </si>
  <si>
    <t>SRTFD01050020</t>
  </si>
  <si>
    <t>Hong Tra tui loc</t>
  </si>
  <si>
    <t>SRTFD01050022</t>
  </si>
  <si>
    <t>Tra Oolong tui loc</t>
  </si>
  <si>
    <t>SRTFD01050040</t>
  </si>
  <si>
    <t>Tra Oolong tui loc Cozy 18g</t>
  </si>
  <si>
    <t>SRTFD01050030</t>
  </si>
  <si>
    <t xml:space="preserve">Tra huong lai </t>
  </si>
  <si>
    <t>Juices - Nước ép</t>
  </si>
  <si>
    <t>SRTFD01020041</t>
  </si>
  <si>
    <t xml:space="preserve">Lime juice 200gr/Bag </t>
  </si>
  <si>
    <t>SRTFD01020042</t>
  </si>
  <si>
    <t>Passion fruit juice 200gr/Bag</t>
  </si>
  <si>
    <t>SRTFD01020043</t>
  </si>
  <si>
    <t xml:space="preserve">Kumquat Juice 200gr/Bag </t>
  </si>
  <si>
    <t>Sauce - Syrup - Siro</t>
  </si>
  <si>
    <t>SRTFD01030012</t>
  </si>
  <si>
    <t>Sauce Dark Chocolate</t>
  </si>
  <si>
    <t>SRTFD01070004</t>
  </si>
  <si>
    <t>Caramel Sauce</t>
  </si>
  <si>
    <t>SRTFD01070027</t>
  </si>
  <si>
    <t>Peache Syrup</t>
  </si>
  <si>
    <t>SRTFD01070074</t>
  </si>
  <si>
    <t>SRTFD01070050</t>
  </si>
  <si>
    <t xml:space="preserve">DVG Lychee Syrup </t>
  </si>
  <si>
    <t>SRTFD01070051</t>
  </si>
  <si>
    <t xml:space="preserve">Roasted Almond Syrup </t>
  </si>
  <si>
    <t>SRTFD01070077</t>
  </si>
  <si>
    <t>SRTFD01070078</t>
  </si>
  <si>
    <t>Soft Serve</t>
  </si>
  <si>
    <t>SRTFD04070006</t>
  </si>
  <si>
    <t>SRTFD04080039</t>
  </si>
  <si>
    <t>Highlands Vanilla Soft Server Mix</t>
  </si>
  <si>
    <t>Packaging</t>
  </si>
  <si>
    <t>SRTND04020279</t>
  </si>
  <si>
    <t>Ly giay 4oz, in 2 mau</t>
  </si>
  <si>
    <t>SRTND04020348</t>
  </si>
  <si>
    <t xml:space="preserve">Ripple Paper Cup 8 OZ </t>
  </si>
  <si>
    <t>SRTND04020349</t>
  </si>
  <si>
    <t xml:space="preserve">Ripple Paper Cup 12 OZ  </t>
  </si>
  <si>
    <t>SRTND04020350</t>
  </si>
  <si>
    <t xml:space="preserve">Ripple Paper Cup 16 OZ </t>
  </si>
  <si>
    <t>SRTND04020378</t>
  </si>
  <si>
    <t>SRTND04020002</t>
  </si>
  <si>
    <t>Nap Ly Giay 8Oz Moi</t>
  </si>
  <si>
    <t>SRTND04020085</t>
  </si>
  <si>
    <t>Nap Ly Giay 16/12 Soz</t>
  </si>
  <si>
    <t>SRTND04030276</t>
  </si>
  <si>
    <t>10 oz 84' Pet Cup 2 colours</t>
  </si>
  <si>
    <t>SRTND04030277</t>
  </si>
  <si>
    <t>12 oz 93' Pet Cup 2 colours</t>
  </si>
  <si>
    <t>SRTND04030278</t>
  </si>
  <si>
    <t>16 oz 98' Pet Cup 2 colours</t>
  </si>
  <si>
    <t>SRTND04030279</t>
  </si>
  <si>
    <t>20 oz 98' Pet Cup 2 colours</t>
  </si>
  <si>
    <t>SRTND04030236</t>
  </si>
  <si>
    <t>Dome lid 84mm with cutting cross</t>
  </si>
  <si>
    <t>SRTND04030237</t>
  </si>
  <si>
    <t>Dome lid 93mm with cutting cross</t>
  </si>
  <si>
    <t>SRTND04030238</t>
  </si>
  <si>
    <t>Dome lid 98mm with cutting cross</t>
  </si>
  <si>
    <t>SRTND04020375</t>
  </si>
  <si>
    <t xml:space="preserve">Breadstick </t>
  </si>
  <si>
    <t>SRTFD04010032</t>
  </si>
  <si>
    <t>Impluse</t>
  </si>
  <si>
    <t>SRTFD09020006</t>
  </si>
  <si>
    <t>Milk Chocolate 40% - 30 gr</t>
  </si>
  <si>
    <t>SRTFD09020007</t>
  </si>
  <si>
    <t>Dark Chocolate 70% - 30 gr</t>
  </si>
  <si>
    <t>SRTFC04020055</t>
  </si>
  <si>
    <t>Cookies Vani  (200gr/bag)</t>
  </si>
  <si>
    <t>SRTFC04020059</t>
  </si>
  <si>
    <t>Cookies Green Tea  (5pcs/bag)</t>
  </si>
  <si>
    <t>SRTFC04020060</t>
  </si>
  <si>
    <t>Cookies Vani (5pcs/bag)</t>
  </si>
  <si>
    <t>Merchandise &amp; Coffee Bag</t>
  </si>
  <si>
    <t>PASFD01010102</t>
  </si>
  <si>
    <t>Traditional 200gr - Ground</t>
  </si>
  <si>
    <t>PASFD01010076</t>
  </si>
  <si>
    <t>Moka Royal 200gr - Ground</t>
  </si>
  <si>
    <t>PASFD01010041</t>
  </si>
  <si>
    <t>Culi Supreme 200gr - Ground</t>
  </si>
  <si>
    <t>SRTFD01040013</t>
  </si>
  <si>
    <t xml:space="preserve">New Instant Coffee Box/20 Sticks </t>
  </si>
  <si>
    <t>SRTFD01040014</t>
  </si>
  <si>
    <t xml:space="preserve">New 3 In 1 Bag/ 50 Sticks </t>
  </si>
  <si>
    <t>SRTFD01040010</t>
  </si>
  <si>
    <t>RTD Coffee Iced coffee with Milk</t>
  </si>
  <si>
    <t>SRTND07010472</t>
  </si>
  <si>
    <t>Small Filter</t>
  </si>
  <si>
    <t>SRTND07010382</t>
  </si>
  <si>
    <t>Plastic Tumbler w Strap 420ml</t>
  </si>
  <si>
    <t>SRTND07010396</t>
  </si>
  <si>
    <t>Cf Leaf Tall Cup w Straw 473ml</t>
  </si>
  <si>
    <t>SRTND07010401</t>
  </si>
  <si>
    <t>Matte red tumbler with long strap</t>
  </si>
  <si>
    <t>SRTND07010427</t>
  </si>
  <si>
    <t>Brown Tblr w Logo 710ml</t>
  </si>
  <si>
    <t>SRTND07010445</t>
  </si>
  <si>
    <t>Black mug with typo logo 360m</t>
  </si>
  <si>
    <t>SRTND07010420</t>
  </si>
  <si>
    <t>Brown coffee leaf pattern tumbler with lid 500ml </t>
  </si>
  <si>
    <t>SRTND07010430</t>
  </si>
  <si>
    <t>White glass cold cup with lid 500ml</t>
  </si>
  <si>
    <t>SRTFD04020001</t>
  </si>
  <si>
    <t>Oreo Cake</t>
  </si>
  <si>
    <t>SRTFD09010003</t>
  </si>
  <si>
    <t>SRTFD09010013</t>
  </si>
  <si>
    <t xml:space="preserve">White Sugar </t>
  </si>
  <si>
    <t>SRTFD01070075</t>
  </si>
  <si>
    <t>SRTFD09010014</t>
  </si>
  <si>
    <t>Diet Sugar - Duong An Kieng Tropicana Slim</t>
  </si>
  <si>
    <t>SRTFD05050041</t>
  </si>
  <si>
    <t>Green Tea Paste</t>
  </si>
  <si>
    <t>SRTFF01060001</t>
  </si>
  <si>
    <t>Ice - Da tinh khiet</t>
  </si>
  <si>
    <t>SRTFD03030063</t>
  </si>
  <si>
    <t>Lemongrass - Sa Cay</t>
  </si>
  <si>
    <t>SRTFD03010015</t>
  </si>
  <si>
    <t>Lime-Chanh Giay</t>
  </si>
  <si>
    <t>SRTND04030040</t>
  </si>
  <si>
    <t>Que Khuay Nhua Dep</t>
  </si>
  <si>
    <t>SRTND04030268</t>
  </si>
  <si>
    <t xml:space="preserve">12mm Red Big Straw </t>
  </si>
  <si>
    <t>SRTND04030090</t>
  </si>
  <si>
    <t>Ong Hut Do Lon</t>
  </si>
  <si>
    <t>SRTND04030092</t>
  </si>
  <si>
    <t>Ong Hut Do Gay Dau</t>
  </si>
  <si>
    <t>SRTND04030227</t>
  </si>
  <si>
    <t>Muong Nhua Do Boc Giay</t>
  </si>
  <si>
    <t>SRTND04050004</t>
  </si>
  <si>
    <t xml:space="preserve">Toothpick HC </t>
  </si>
  <si>
    <t>SRTND04020373</t>
  </si>
  <si>
    <t>Cake Box 5G</t>
  </si>
  <si>
    <t>SRTND04020020</t>
  </si>
  <si>
    <t xml:space="preserve">Cake Box </t>
  </si>
  <si>
    <t>SRTND04030262</t>
  </si>
  <si>
    <t>HDPE Bag 20x30 - Tui Xop HDPE 20x30</t>
  </si>
  <si>
    <t>SRTND07020039</t>
  </si>
  <si>
    <t xml:space="preserve">Isi Chargers 0087 </t>
  </si>
  <si>
    <t>SRTND04020307</t>
  </si>
  <si>
    <t xml:space="preserve">HC Paper Bag Size S </t>
  </si>
  <si>
    <t>SRTND04020308</t>
  </si>
  <si>
    <t xml:space="preserve">HC Paper Bag Size M </t>
  </si>
  <si>
    <t>SRTFD05010047</t>
  </si>
  <si>
    <t>Iot Salt - Muoi Iot</t>
  </si>
  <si>
    <t>SRTND04050030</t>
  </si>
  <si>
    <t xml:space="preserve">Bio T </t>
  </si>
  <si>
    <t>SRTND04030229</t>
  </si>
  <si>
    <t xml:space="preserve">Bio Bag </t>
  </si>
  <si>
    <t>SRTND04050032</t>
  </si>
  <si>
    <t xml:space="preserve">Small Bio T </t>
  </si>
  <si>
    <t>SRTND04020352</t>
  </si>
  <si>
    <t xml:space="preserve">Breadstick Paper bag 30x7cm </t>
  </si>
  <si>
    <t>SRTND04020361</t>
  </si>
  <si>
    <t>Paper Bag - Tui giay banh man</t>
  </si>
  <si>
    <t>SRTND04020234</t>
  </si>
  <si>
    <t xml:space="preserve">Bless You tissue 23*23 </t>
  </si>
  <si>
    <t>SRTND06020057</t>
  </si>
  <si>
    <t>Printing Paper K80 - Giay Tinh Tien K80*45</t>
  </si>
  <si>
    <t>Roll</t>
  </si>
  <si>
    <t>HCSHCM0210 183 Ten Lua Binh Tan</t>
  </si>
  <si>
    <t>HCSHCM0205 565 Tinh Lo 10</t>
  </si>
  <si>
    <t>KDV</t>
  </si>
  <si>
    <t>GRBHCM028 539 Kinh Duong Vuong</t>
  </si>
  <si>
    <t>GRBHCM002 No.7 Binh Tan</t>
  </si>
  <si>
    <t>HCSHCM0182 Ben xe Mien Tay HCMC</t>
  </si>
  <si>
    <t>HCSHCM0100 61 Binh Phu</t>
  </si>
  <si>
    <t>HCSHCM0237 Akari City Binh Tan</t>
  </si>
  <si>
    <t>HCSHCM0228 366 Le Van Quoi</t>
  </si>
  <si>
    <t>HCSHCM0078 Big C An Lac</t>
  </si>
  <si>
    <t>test</t>
  </si>
  <si>
    <t>Highlands Store</t>
  </si>
  <si>
    <t>cra</t>
  </si>
  <si>
    <t>KHO CRA</t>
  </si>
  <si>
    <t>87tt</t>
  </si>
  <si>
    <t>HCSHCM0209 87 Tan Thang Tan Phu</t>
  </si>
  <si>
    <t>SRTFD03040039</t>
  </si>
  <si>
    <t>SRTFD03020055</t>
  </si>
  <si>
    <t>Dole Lychees in Syrup - Vai Tuoi Dole 565gr</t>
  </si>
  <si>
    <t>SRTFD03020030</t>
  </si>
  <si>
    <t>SRTFC04020031</t>
  </si>
  <si>
    <t>Large Flan Cake</t>
  </si>
  <si>
    <t>SRTFD04060015</t>
  </si>
  <si>
    <t>Steamed Sticky Rice</t>
  </si>
  <si>
    <t>SRTFD08020038</t>
  </si>
  <si>
    <t>Traditional Coffee 1 kg</t>
  </si>
  <si>
    <t>SRTFC04020117</t>
  </si>
  <si>
    <t>New Tiramisu Cake</t>
  </si>
  <si>
    <t>SRTFD05010111</t>
  </si>
  <si>
    <t>Himalaya pink salt</t>
  </si>
  <si>
    <t>SRTFD03020034</t>
  </si>
  <si>
    <t>Salted Calamansi Chunky</t>
  </si>
  <si>
    <t>SRTFD01070062</t>
  </si>
  <si>
    <t>DVG Guava Syrup</t>
  </si>
  <si>
    <t>SRTFD04010031</t>
  </si>
  <si>
    <t>Pink Guava</t>
  </si>
  <si>
    <t>HCSHCM0058 Vincom Phan Van Tri</t>
  </si>
  <si>
    <t>vcpvt</t>
  </si>
  <si>
    <t>HCSHCM0278 2 Cao Thang D3</t>
  </si>
  <si>
    <t>ctd3</t>
  </si>
  <si>
    <t>HCSHCM0126 AB Tower D1</t>
  </si>
  <si>
    <t>abt</t>
  </si>
  <si>
    <t>SRTFC04020071</t>
  </si>
  <si>
    <t>Cheese Yogurt Cake</t>
  </si>
  <si>
    <t>Croissant Ham &amp; Cheese</t>
  </si>
  <si>
    <t>Banana Junior Cakes</t>
  </si>
  <si>
    <t xml:space="preserve">HL Caramel Cheese Junior Cakes </t>
  </si>
  <si>
    <t xml:space="preserve">New Passion Cheese Junior Cakes </t>
  </si>
  <si>
    <t xml:space="preserve">Green Tea Cheese Cakes </t>
  </si>
  <si>
    <t xml:space="preserve">Cacao Mousse Cakes </t>
  </si>
  <si>
    <t>Traditional Coffee 1 kg  - Red bag</t>
  </si>
  <si>
    <t xml:space="preserve">Sau Specialty Coffee 1kg - Red Bag	</t>
  </si>
  <si>
    <t>Pandan syrup</t>
  </si>
  <si>
    <t>Coconut Syrup</t>
  </si>
  <si>
    <t>SRTFD03020056</t>
  </si>
  <si>
    <t>Coconut MilkLab 1 Lit</t>
  </si>
  <si>
    <t xml:space="preserve">Highlands Lemongrass Flavoured Syrup </t>
  </si>
  <si>
    <t>Lid Of Paper cup 4Oz</t>
  </si>
  <si>
    <t>Paper bowl Kemdi 8 Oz</t>
  </si>
  <si>
    <t xml:space="preserve">HL Chunky Mulberry 1kg </t>
  </si>
  <si>
    <t xml:space="preserve">Taro Boba </t>
  </si>
  <si>
    <t xml:space="preserve">Coconut Boba 	</t>
  </si>
  <si>
    <t>TVP Breadstick pate</t>
  </si>
  <si>
    <t>TVP Breadstick chicken &amp; cheese</t>
  </si>
  <si>
    <t xml:space="preserve">Croissant </t>
  </si>
  <si>
    <t xml:space="preserve">Whipping Cream </t>
  </si>
  <si>
    <t>Whipping cream NDC 1Kg</t>
  </si>
  <si>
    <t xml:space="preserve">Pure Cacao Powder </t>
  </si>
  <si>
    <t>Cacao Powder - 10/12,pH 7.5-7.7,CCT</t>
  </si>
  <si>
    <t xml:space="preserve">VN Green Tea Powder </t>
  </si>
  <si>
    <t>Taro powder</t>
  </si>
  <si>
    <t>Coconut powder</t>
  </si>
  <si>
    <t>llk</t>
  </si>
  <si>
    <t>vmh</t>
  </si>
  <si>
    <t>npqn</t>
  </si>
  <si>
    <t>ltko</t>
  </si>
  <si>
    <t>ckc</t>
  </si>
  <si>
    <t>lmt</t>
  </si>
  <si>
    <t>ott</t>
  </si>
  <si>
    <t>tt</t>
  </si>
  <si>
    <t>SRTFD04020049</t>
  </si>
  <si>
    <t>Snack Coconut Traditional Vietcoco 45gr</t>
  </si>
  <si>
    <t>SRTND07010416</t>
  </si>
  <si>
    <t>Green tall pattern cold cup 473ml</t>
  </si>
  <si>
    <t>SRTFD03010053</t>
  </si>
  <si>
    <t>SRTFD03020049</t>
  </si>
  <si>
    <t>SRTFC07020001</t>
  </si>
  <si>
    <t xml:space="preserve">Bag </t>
  </si>
  <si>
    <t>ptb</t>
  </si>
  <si>
    <t>HCSHCM0280 3 No.8 Binh Tan</t>
  </si>
  <si>
    <t>SRTFD08020036</t>
  </si>
  <si>
    <t>Espresso Full City Roast Coffee 1kg - Red bag</t>
  </si>
  <si>
    <t>SRTND07010480</t>
  </si>
  <si>
    <t>Vietnam Blue Tumbler</t>
  </si>
  <si>
    <t xml:space="preserve">Liquid Sugar </t>
  </si>
  <si>
    <t xml:space="preserve">Hl Sugar Bag </t>
  </si>
  <si>
    <t>TH True Milk 1L</t>
  </si>
  <si>
    <t>Kellog Frostie</t>
  </si>
  <si>
    <t>5 (test)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</si>
</sst>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#,##0.000"/>
  </numFmts>
  <fonts count="1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26"/>
      <color theme="1"/>
      <name val="Times New Roman"/>
      <family val="1"/>
    </font>
    <font>
      <b/>
      <sz val="26"/>
      <name val="Times New Roman"/>
      <family val="1"/>
    </font>
    <font>
      <sz val="26"/>
      <name val="Times New Roman"/>
      <family val="1"/>
    </font>
    <font>
      <sz val="26"/>
      <color rgb="FF333333"/>
      <name val="Times New Roman"/>
      <family val="1"/>
    </font>
    <font>
      <sz val="26"/>
      <name val="Times  New Roman"/>
      <charset val="163"/>
    </font>
    <font>
      <sz val="26"/>
      <color theme="1"/>
      <name val="Times  New Roman"/>
      <charset val="163"/>
    </font>
    <font>
      <b/>
      <sz val="26"/>
      <name val="Times  New Roman"/>
      <charset val="163"/>
    </font>
    <font>
      <sz val="26"/>
      <name val="Times New Roman"/>
      <family val="1"/>
    </font>
    <font>
      <sz val="10"/>
      <color theme="1"/>
      <name val="Arial Unicode MS"/>
      <family val="2"/>
    </font>
    <font>
      <sz val="10"/>
      <name val="Arial"/>
      <family val="2"/>
    </font>
    <font>
      <sz val="10"/>
      <name val=".VnTime"/>
      <charset val="134"/>
    </font>
    <font>
      <sz val="26"/>
      <name val="Times New Roman"/>
      <family val="1"/>
    </font>
    <font>
      <sz val="11"/>
      <color theme="1"/>
      <name val="Calibri"/>
      <family val="2"/>
      <scheme val="minor"/>
    </font>
    <font>
      <sz val="26"/>
      <color theme="1"/>
      <name val="Times New Roman"/>
      <family val="1"/>
    </font>
    <font>
      <sz val="26"/>
      <color rgb="FF333333"/>
      <name val="Times  New Roman"/>
      <charset val="163"/>
    </font>
    <font>
      <sz val="24"/>
      <color rgb="FF000000"/>
      <name val="Aptos Narrow"/>
    </font>
  </fonts>
  <fills count="8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2" fillId="0" borderId="0">
      <alignment vertical="top"/>
    </xf>
    <xf numFmtId="0" fontId="12" fillId="0" borderId="0">
      <alignment vertical="top"/>
    </xf>
    <xf numFmtId="0" fontId="13" fillId="0" borderId="0"/>
  </cellStyleXfs>
  <cellXfs count="95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6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5" fillId="0" borderId="6" xfId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6" xfId="2" applyFont="1" applyBorder="1" applyAlignment="1">
      <alignment vertical="center"/>
    </xf>
    <xf numFmtId="2" fontId="3" fillId="0" borderId="6" xfId="0" applyNumberFormat="1" applyFont="1" applyBorder="1" applyAlignment="1">
      <alignment vertical="center"/>
    </xf>
    <xf numFmtId="0" fontId="5" fillId="0" borderId="8" xfId="1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4" fillId="5" borderId="6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 wrapText="1"/>
    </xf>
    <xf numFmtId="0" fontId="4" fillId="5" borderId="8" xfId="0" applyFont="1" applyFill="1" applyBorder="1" applyAlignment="1">
      <alignment vertical="center"/>
    </xf>
    <xf numFmtId="0" fontId="5" fillId="6" borderId="6" xfId="1" applyFont="1" applyFill="1" applyBorder="1" applyAlignment="1">
      <alignment vertical="center"/>
    </xf>
    <xf numFmtId="0" fontId="3" fillId="6" borderId="6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0" fontId="7" fillId="0" borderId="6" xfId="1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2" fontId="4" fillId="0" borderId="0" xfId="3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8" xfId="2" applyFont="1" applyBorder="1" applyAlignment="1">
      <alignment vertical="center"/>
    </xf>
    <xf numFmtId="0" fontId="6" fillId="0" borderId="8" xfId="0" applyFont="1" applyBorder="1" applyAlignment="1">
      <alignment vertical="center" wrapText="1"/>
    </xf>
    <xf numFmtId="0" fontId="6" fillId="0" borderId="8" xfId="0" applyFont="1" applyBorder="1" applyAlignment="1">
      <alignment vertical="center"/>
    </xf>
    <xf numFmtId="0" fontId="10" fillId="0" borderId="6" xfId="1" applyFont="1" applyBorder="1" applyAlignment="1">
      <alignment vertical="center"/>
    </xf>
    <xf numFmtId="0" fontId="5" fillId="2" borderId="6" xfId="1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6" xfId="2" applyFont="1" applyFill="1" applyBorder="1" applyAlignment="1">
      <alignment vertical="center"/>
    </xf>
    <xf numFmtId="0" fontId="5" fillId="2" borderId="6" xfId="1" applyFont="1" applyFill="1" applyBorder="1" applyAlignment="1">
      <alignment vertical="center" wrapText="1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5" fillId="0" borderId="0" xfId="2" applyFont="1" applyAlignment="1">
      <alignment horizontal="center" vertical="center"/>
    </xf>
    <xf numFmtId="0" fontId="5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4" fillId="0" borderId="0" xfId="2" applyFont="1" applyAlignment="1">
      <alignment vertical="center"/>
    </xf>
    <xf numFmtId="0" fontId="4" fillId="0" borderId="0" xfId="1" applyFont="1" applyAlignment="1">
      <alignment vertical="center"/>
    </xf>
    <xf numFmtId="0" fontId="11" fillId="0" borderId="0" xfId="0" applyFont="1"/>
    <xf numFmtId="0" fontId="11" fillId="0" borderId="0" xfId="0" quotePrefix="1" applyFont="1"/>
    <xf numFmtId="0" fontId="5" fillId="0" borderId="6" xfId="1" quotePrefix="1" applyFont="1" applyBorder="1" applyAlignment="1">
      <alignment vertical="center"/>
    </xf>
    <xf numFmtId="0" fontId="6" fillId="0" borderId="6" xfId="0" quotePrefix="1" applyFont="1" applyBorder="1" applyAlignment="1">
      <alignment vertical="center"/>
    </xf>
    <xf numFmtId="164" fontId="5" fillId="0" borderId="6" xfId="1" quotePrefix="1" applyNumberFormat="1" applyFont="1" applyBorder="1" applyAlignment="1">
      <alignment vertical="center"/>
    </xf>
    <xf numFmtId="0" fontId="5" fillId="6" borderId="6" xfId="1" quotePrefix="1" applyFont="1" applyFill="1" applyBorder="1" applyAlignment="1">
      <alignment vertical="center"/>
    </xf>
    <xf numFmtId="0" fontId="7" fillId="0" borderId="6" xfId="1" quotePrefix="1" applyFont="1" applyBorder="1" applyAlignment="1">
      <alignment vertical="center"/>
    </xf>
    <xf numFmtId="0" fontId="5" fillId="0" borderId="7" xfId="1" quotePrefix="1" applyFont="1" applyBorder="1" applyAlignment="1">
      <alignment vertical="center"/>
    </xf>
    <xf numFmtId="0" fontId="5" fillId="2" borderId="6" xfId="1" quotePrefix="1" applyFont="1" applyFill="1" applyBorder="1" applyAlignment="1">
      <alignment vertical="center"/>
    </xf>
    <xf numFmtId="0" fontId="14" fillId="0" borderId="6" xfId="1" quotePrefix="1" applyFont="1" applyBorder="1" applyAlignment="1">
      <alignment vertical="center"/>
    </xf>
    <xf numFmtId="0" fontId="15" fillId="0" borderId="0" xfId="0" applyFont="1"/>
    <xf numFmtId="0" fontId="16" fillId="0" borderId="6" xfId="0" applyFont="1" applyBorder="1" applyAlignment="1">
      <alignment vertical="center"/>
    </xf>
    <xf numFmtId="0" fontId="14" fillId="0" borderId="6" xfId="1" applyFont="1" applyBorder="1" applyAlignment="1">
      <alignment vertical="center"/>
    </xf>
    <xf numFmtId="0" fontId="16" fillId="0" borderId="6" xfId="0" applyFont="1" applyBorder="1"/>
    <xf numFmtId="0" fontId="5" fillId="2" borderId="8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165" fontId="3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5" fontId="5" fillId="6" borderId="6" xfId="0" applyNumberFormat="1" applyFont="1" applyFill="1" applyBorder="1" applyAlignment="1">
      <alignment vertical="center"/>
    </xf>
    <xf numFmtId="4" fontId="5" fillId="0" borderId="6" xfId="0" applyNumberFormat="1" applyFont="1" applyBorder="1" applyAlignment="1">
      <alignment vertical="center"/>
    </xf>
    <xf numFmtId="4" fontId="5" fillId="0" borderId="8" xfId="0" applyNumberFormat="1" applyFont="1" applyBorder="1" applyAlignment="1">
      <alignment vertical="center"/>
    </xf>
    <xf numFmtId="0" fontId="4" fillId="7" borderId="6" xfId="0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vertical="center"/>
    </xf>
    <xf numFmtId="165" fontId="3" fillId="0" borderId="8" xfId="0" applyNumberFormat="1" applyFont="1" applyBorder="1" applyAlignment="1">
      <alignment vertical="center"/>
    </xf>
    <xf numFmtId="0" fontId="17" fillId="0" borderId="0" xfId="0" applyFont="1"/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4" borderId="7" xfId="1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9" fillId="3" borderId="7" xfId="0" applyFont="1" applyFill="1" applyBorder="1" applyAlignment="1">
      <alignment vertical="center"/>
    </xf>
    <xf numFmtId="0" fontId="9" fillId="3" borderId="8" xfId="0" applyFont="1" applyFill="1" applyBorder="1" applyAlignment="1">
      <alignment vertical="center"/>
    </xf>
    <xf numFmtId="0" fontId="4" fillId="4" borderId="7" xfId="1" applyFont="1" applyFill="1" applyBorder="1" applyAlignment="1">
      <alignment horizontal="center" vertical="center"/>
    </xf>
    <xf numFmtId="0" fontId="4" fillId="4" borderId="8" xfId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4" borderId="6" xfId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4">
    <cellStyle name="Normal" xfId="0" builtinId="0"/>
    <cellStyle name="Normal 3" xfId="1" xr:uid="{00000000-0005-0000-0000-000031000000}"/>
    <cellStyle name="Normal 7" xfId="2" xr:uid="{00000000-0005-0000-0000-000032000000}"/>
    <cellStyle name="Normal_KKe thang 11" xfId="3" xr:uid="{00000000-0005-0000-0000-00003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6.xml"/><Relationship Id="rId34" Type="http://schemas.openxmlformats.org/officeDocument/2006/relationships/externalLink" Target="externalLinks/externalLink29.xml"/><Relationship Id="rId42" Type="http://schemas.microsoft.com/office/2006/relationships/vbaProject" Target="vbaProject.bin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4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externalLink" Target="externalLinks/externalLink27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externalLink" Target="externalLinks/externalLink31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externalLink" Target="externalLinks/externalLink30.xml"/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externalLink" Target="externalLinks/externalLink28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50800</xdr:rowOff>
        </xdr:from>
        <xdr:to>
          <xdr:col>7</xdr:col>
          <xdr:colOff>1879600</xdr:colOff>
          <xdr:row>2</xdr:row>
          <xdr:rowOff>279400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TF OUT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0</xdr:row>
          <xdr:rowOff>25400</xdr:rowOff>
        </xdr:from>
        <xdr:to>
          <xdr:col>8</xdr:col>
          <xdr:colOff>1905000</xdr:colOff>
          <xdr:row>2</xdr:row>
          <xdr:rowOff>254000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Ending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2/d/A&amp;B-hong/quotation/nam%202002/nokia%20hcmc/My%20Documents/MINH%20NGUYET/My%20Documents/CTY%20586/P.KHKD/DINH/DONG%20THAP/CA%20GAO/DT-CAGA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Congviec/Ta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Hang/ketoan/WINDOWS/Desktop/Nhung/REPORT/Cash%20Box%20(4%20quater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:/SE6380/TOP1/MISS_&#168;&#207;&#161;&#192;/ORIGINAL/&#168;&#207;&#161;&#192;_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DuToan/DuToanDuThau/Truong%20DH%20CN%20Ton%20Duc%20Thang/Nhanvien/DTTT/longanb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Dung%20Quat/Nhom%20GC/New%20Folder/My%20Documents/3533/99Q/99Q3657/99Q3299(REV.0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TKT2/MY%20DOCUMENTS/My%20Documents/Tan/B38VL/NHON/THUNHI/MYHOAHUN/TRUONGLO/TTTRLONG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GOC/KIOS%20BO%20HO/WINDOWS/TEMP/WINDOWS/Desktop/ketoan/Report/Finance/Report%202001/Bang%20ke%20ton%20hang/B.ke%20hang%20xuat%20(Q2.01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DO-HUONG/GT-BO/TKTC10-8/phong%20nen/DT-THL7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:/MGT-DRT/MGT-IMPR/MGT-SC@/BA0397/INSULT'N/INS/ASK/PIPE-03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39/Bao%20cao/thanh-tung/CNT/du-an/ha-tien/bien%20tay/he%20thong%20thoat%20nuoc/My%20Documents/Excel%202000/P-TC-HC/Ql-tien%20thuong/Yaer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39/Bao%20cao/thanh-tung/CNT/du-an/ha-tien/bien%20tay/he%20thong%20thoat%20nuoc/My%20Documents/Excel%202000/P-TC-HC/Ql-Tien%20Luong/LUONG-12-0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39/Bao%20cao/thanh-tung/CNT/du-an/ha-tien/bien%20tay/he%20thong%20thoat%20nuoc/My%20Documents/Excel%202000/P-TC-HC/Ql-tien%20thuong/KT-Year%202002-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AT-ANH/PARKER/My%20Documents/HS00/DTTK/parker/Dieuchinh/Quote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Loi/D/Accounting%20Dept/SALARY/HAIPHONG/TRUSO/CHINHLY/CTCLCH~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5/D/THAIBAO/THU%20VIEN%20TN/dt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TKT2/MY%20DOCUMENTS/My%20Documents/Tan/B38VL/NHON/THUNHI/MYAN/HTBACHUC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GOC/KIOS%20BO%20HO/Cash%20box/Sales%20Report%20200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THU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GOC/KIOS%20BO%20HO/My%20Documents/VTI/Templates/Sensitivity%20Analysis%20(Hong's%20Model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:/M2%20C1,2,3,XMC,TKTNNTQ3/C1,2,3,NH2005-2006Q3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/DT%20Cty%20giay%20De%20Vuong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/Pa%20rem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Cuong/Chem-NDo/Chem-NDo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Dung%20Quat/Nhom%20GC/New%20Folder/My%20Documents/3533/98Q/3533/Q/98Q2943e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THUYVY/D/Accounting%20Dept/COFFEE%20SHOP/NAM%202003/Daily%20Sales/My%20Documents/VTI/Templates/Sensitivity%20Analysis%20(Hong's%20Model)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Hung/o%20d/luu%20du%20lieu/Minh/Thue%20GTGT-2004/Thue%20T11-01(nh)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Hung/o%20d/luu%20du%20lieu/Minh/Thue%20GTGT-2004/Thue%20T5-01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DuToan/DuToanDuThau/Dai%20THTPHCM/Goi%202/29/dm.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Khai/Pleiku-Danang-HaTinh/khoa_D4/THANG/CONDENSATE/My%20Documents/99v0233/Eq_sum_new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:/Users/ADMINI~1/AppData/Local/Temp/Rar$DI53.896/Daily%20Bar%20Inventory%20form%20122012revis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IAVLIEU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m"/>
      <sheetName val="Du_lieu"/>
      <sheetName val="KH-Q1,Q2,01"/>
      <sheetName val="TONGKE3p "/>
      <sheetName val="TDTKP"/>
      <sheetName val="DON GIA"/>
      <sheetName val="TONG HOP VL-NC"/>
      <sheetName val="TNHCHINH"/>
      <sheetName val="CHITIET VL-NC-TT -1p"/>
      <sheetName val="TDTKP1"/>
      <sheetName val="phuluc1"/>
      <sheetName val="TONG HOP VL-NC TT"/>
      <sheetName val="KPVC-BD "/>
      <sheetName val="#REF"/>
      <sheetName val="gvl"/>
      <sheetName val="Tiepdia"/>
      <sheetName val="CHITIET VL-NC-TT-3p"/>
      <sheetName val="VCV-BE-TONG"/>
      <sheetName val="chitiet"/>
      <sheetName val="VC"/>
      <sheetName val="CHITIET VL-NC"/>
      <sheetName val="THPDMoi  (2)"/>
      <sheetName val="t-h HA THE"/>
      <sheetName val="giathanh1"/>
      <sheetName val="TONGKE-HT"/>
      <sheetName val="LKVL-CK-HT-GD1"/>
      <sheetName val="TH VL, NC, DDHT Thanhphuoc"/>
      <sheetName val="dongia (2)"/>
      <sheetName val="DG"/>
      <sheetName val="DONGIA"/>
      <sheetName val="chitimc"/>
      <sheetName val="dtxl"/>
      <sheetName val="gtrinh"/>
      <sheetName val="lam-moi"/>
      <sheetName val="TH XL"/>
      <sheetName val="thao-go"/>
      <sheetName val="BAOGIATHANG"/>
      <sheetName val="vanchuyen TC"/>
      <sheetName val="DAODAT"/>
      <sheetName val="dongiaXD"/>
      <sheetName val="TONG HOP VL_NC"/>
      <sheetName val="CHITIET VL_NC_TT _1p"/>
      <sheetName val="TONG HOP VL_NC TT"/>
      <sheetName val="KPVC_BD "/>
      <sheetName val="_REF"/>
      <sheetName val="CHITIET VL_NC_TT_3p"/>
      <sheetName val="VCV_BE_TONG"/>
      <sheetName val="CHITIET VL_NC"/>
      <sheetName val="THPDMoi  _2_"/>
      <sheetName val="t_h HA THE"/>
      <sheetName val="TONGKE_HT"/>
      <sheetName val="LKVL_CK_HT_GD1"/>
      <sheetName val="TH VL_ NC_ DDHT Thanhphuoc"/>
      <sheetName val="dongia _2_"/>
      <sheetName val="lam_moi"/>
      <sheetName val="thao_go"/>
      <sheetName val="KH_Q1_Q2_01"/>
      <sheetName val="TH VL, NC, DDHÿÿThanÿÿhuo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. Code"/>
      <sheetName val="Cash In -Oct"/>
      <sheetName val="Cash In -Nov"/>
      <sheetName val="Cash In-Dec"/>
      <sheetName val="Cash In -Nov (2)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1A"/>
      <sheetName val="1B"/>
      <sheetName val="1C"/>
      <sheetName val="2A "/>
      <sheetName val="2B"/>
      <sheetName val="3A"/>
      <sheetName val="3B"/>
      <sheetName val="sum-1A"/>
      <sheetName val="sum-1B"/>
      <sheetName val="sum-1C"/>
      <sheetName val="sum-2A"/>
      <sheetName val="sum-2B"/>
      <sheetName val="sum-3A"/>
      <sheetName val="sum-3B"/>
      <sheetName val="sum-trench"/>
      <sheetName val="Sheet1"/>
      <sheetName val="Sheet2"/>
      <sheetName val="Sheet3"/>
      <sheetName val="XL4Poppy"/>
      <sheetName val="BC 1-04"/>
      <sheetName val="BC 2-04"/>
      <sheetName val="BC 3-04"/>
      <sheetName val="1-05"/>
      <sheetName val="PX-1"/>
      <sheetName val="X 2"/>
      <sheetName val="X 3"/>
      <sheetName val="X4"/>
      <sheetName val="BC 4-04"/>
      <sheetName val="BC 5-04"/>
      <sheetName val="BC 6-04"/>
      <sheetName val="BC 7-04"/>
      <sheetName val="bc 8-04"/>
      <sheetName val="9-04"/>
      <sheetName val="TH 10-04"/>
      <sheetName val="11-04"/>
      <sheetName val="Tong Hop"/>
      <sheetName val="Sheet7"/>
      <sheetName val="X 1VP"/>
      <sheetName val="Sheet13"/>
      <sheetName val="Tang Giam"/>
      <sheetName val="Sheet14"/>
      <sheetName val="Sheet15"/>
      <sheetName val="Sheet16"/>
      <sheetName val="XXXXXXXX"/>
      <sheetName val="00000000"/>
      <sheetName val="LE"/>
      <sheetName val="Code K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han tho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BLE"/>
      <sheetName val="MTO REV.0"/>
      <sheetName val="VENDOR-QUOTES"/>
      <sheetName val="SUM REV.0"/>
      <sheetName val="SUM-BQ"/>
      <sheetName val="BUILDING ELE."/>
      <sheetName val="PAINTING"/>
      <sheetName val="CATHODIC PROTECTION"/>
      <sheetName val="PAGE-PARTY"/>
      <sheetName val="CCTV"/>
      <sheetName val="WEATHER PROOF LTG. &amp; ROD LTG."/>
      <sheetName val="PVC CONDUIT"/>
      <sheetName val="BOX"/>
      <sheetName val="CABLE TRAY"/>
      <sheetName val="TERMINAL KIT"/>
      <sheetName val="EXP-PROOF EQUIPMENT"/>
      <sheetName val="COVE-PAGE"/>
      <sheetName val="Sheet1"/>
      <sheetName val="Sheet2"/>
      <sheetName val="Sheet3"/>
      <sheetName val="000000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ITIET VL-NC-TT1p"/>
      <sheetName val="CHITIET VL_NC_TT1p"/>
    </sheetNames>
    <sheetDataSet>
      <sheetData sheetId="0" refreshError="1"/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tem Code"/>
      <sheetName val="Code KM"/>
      <sheetName val="Finish Food (T4.01)"/>
      <sheetName val="Merchandise (T4.01)"/>
      <sheetName val="Finish Food (T5.01)"/>
      <sheetName val="Merchandise (T5.01)"/>
      <sheetName val="Finish Food (T6.01)"/>
      <sheetName val="Merchandise (T6.01)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u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ct"/>
      <sheetName val="dtct"/>
      <sheetName val="gvl"/>
      <sheetName val="Sheet10"/>
      <sheetName val="Sheet11"/>
      <sheetName val="Sheet12"/>
      <sheetName val="Sheet13"/>
      <sheetName val="Sheet14"/>
      <sheetName val="Sheet15"/>
      <sheetName val="Sheet16"/>
      <sheetName val="Master"/>
      <sheetName val="Du_lieu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IPE-03E"/>
      <sheetName val="KLHT"/>
      <sheetName val="THKP"/>
      <sheetName val="KL XL2000"/>
      <sheetName val="KLXL2001"/>
      <sheetName val="THKP2001"/>
      <sheetName val="KLphanbo"/>
      <sheetName val="Chiet tinh"/>
      <sheetName val="XL4Poppy"/>
      <sheetName val="Van chuyen"/>
      <sheetName val="THKP (2)"/>
      <sheetName val="T.Bi"/>
      <sheetName val="Thiet ke"/>
      <sheetName val="Sheet2"/>
      <sheetName val="Sheet1"/>
      <sheetName val="CT"/>
      <sheetName val="K.luong"/>
      <sheetName val="Sheet4"/>
      <sheetName val="Sheet3"/>
      <sheetName val="TT L2"/>
      <sheetName val="TT L1"/>
      <sheetName val="Thue Ngoai"/>
      <sheetName val="KH"/>
      <sheetName val="DM"/>
      <sheetName val="DD&amp;TV"/>
      <sheetName val="CDSL"/>
      <sheetName val="PTSL"/>
      <sheetName val="THCP"/>
      <sheetName val="VT"/>
      <sheetName val="NL"/>
      <sheetName val="SoSanh"/>
      <sheetName val="QTVT"/>
      <sheetName val="QTNC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LUAN CHUYEN"/>
      <sheetName val="KE QUY"/>
      <sheetName val="CPC"/>
      <sheetName val="LUONGGIAN TIEP"/>
      <sheetName val="CLUONG"/>
      <sheetName val="VAY VON"/>
      <sheetName val="O.THAO"/>
      <sheetName val="Q.TRUNG"/>
      <sheetName val="THUY"/>
      <sheetName val="Y.THANH"/>
      <sheetName val="621"/>
      <sheetName val="333"/>
      <sheetName val="627"/>
      <sheetName val="TTLUONG"/>
      <sheetName val="Chi tiet - Dv lap"/>
      <sheetName val="TH KHTC"/>
      <sheetName val="000"/>
      <sheetName val="00000000"/>
      <sheetName val="Dong Dau"/>
      <sheetName val="Dong Dau (2)"/>
      <sheetName val="Sau dong"/>
      <sheetName val="Ma xa"/>
      <sheetName val="My dinh"/>
      <sheetName val="Tong cong"/>
      <sheetName val="VL"/>
      <sheetName val="CTXD"/>
      <sheetName val=".."/>
      <sheetName val="CTDN"/>
      <sheetName val="san vuon"/>
      <sheetName val="khu phu tro"/>
      <sheetName val="TH"/>
      <sheetName val="BC_KKTSCD"/>
      <sheetName val="Chitiet"/>
      <sheetName val="Sheet2 (2)"/>
      <sheetName val="Mau_BC_KKTSCD"/>
      <sheetName val="KH 2003 (moi max)"/>
      <sheetName val="MD"/>
      <sheetName val="ND"/>
      <sheetName val="CONG"/>
      <sheetName val="DGCT"/>
      <sheetName val="Phu luc"/>
      <sheetName val="Gia trÞ"/>
      <sheetName val="XXXXXXXX"/>
      <sheetName val="Chart2"/>
      <sheetName val="Chart1"/>
      <sheetName val="372+132-181"/>
      <sheetName val="372+00-025-T"/>
      <sheetName val="371+920-1000-T"/>
      <sheetName val="371-340-386"/>
      <sheetName val="371+036-175"/>
      <sheetName val="371+920-1000-P"/>
      <sheetName val="371+650-800"/>
      <sheetName val="371+340-386"/>
      <sheetName val="371+00-150"/>
      <sheetName val="370+625-720"/>
      <sheetName val="370+402-550"/>
      <sheetName val="370+227-300"/>
      <sheetName val="370+00-10"/>
      <sheetName val="370+933-1000"/>
      <sheetName val="370+421-550"/>
      <sheetName val="370+246-280"/>
      <sheetName val="370+135-160"/>
      <sheetName val="369+700-730"/>
      <sheetName val="369+592-700"/>
      <sheetName val="369+400-542"/>
      <sheetName val="369+940-008"/>
      <sheetName val="369+800-908"/>
      <sheetName val="369+606-722"/>
      <sheetName val="369+411-526"/>
      <sheetName val="368+517-580"/>
      <sheetName val="368+822-900"/>
      <sheetName val="368+530-687"/>
      <sheetName val="368+00-25"/>
      <sheetName val="369+"/>
      <sheetName val="AC PC"/>
      <sheetName val="LT"/>
      <sheetName val="LP"/>
      <sheetName val="Dao-P"/>
      <sheetName val="AC66-436"/>
      <sheetName val="Dao-T"/>
      <sheetName val="BCC (2)"/>
      <sheetName val="Bao cao"/>
      <sheetName val="Bao cao 2"/>
      <sheetName val="BC3"/>
      <sheetName val="THKL"/>
      <sheetName val="Khoi luong"/>
      <sheetName val="Khoi luong mat"/>
      <sheetName val="Bang ke"/>
      <sheetName val="KLCL"/>
      <sheetName val="T.HopKL"/>
      <sheetName val="S.Luong"/>
      <sheetName val="PTCP2"/>
      <sheetName val="CPBVTC2"/>
      <sheetName val="D.Dap"/>
      <sheetName val="Q.Toan"/>
      <sheetName val="NCong"/>
      <sheetName val="Phan tich chi phi"/>
      <sheetName val="Chi phi nen theo BVTC"/>
      <sheetName val="CPTBVTC3"/>
      <sheetName val="nhan cong phu"/>
      <sheetName val="nhan cong Hung"/>
      <sheetName val="Nhan cong"/>
      <sheetName val="CCD2"/>
      <sheetName val="BCC"/>
      <sheetName val="Doi2"/>
      <sheetName val="Khoi luong nen theo BVTC"/>
      <sheetName val="1"/>
      <sheetName val="KH12"/>
      <sheetName val="CN12"/>
      <sheetName val="HD12"/>
      <sheetName val="KH1"/>
      <sheetName val="TSCD"/>
      <sheetName val="C.TIEU"/>
      <sheetName val="CPNLTT"/>
      <sheetName val="T.Luong"/>
      <sheetName val="CPSX"/>
      <sheetName val="NCTT"/>
      <sheetName val="QLDN"/>
      <sheetName val="641"/>
      <sheetName val="642"/>
      <sheetName val="T.HAO"/>
      <sheetName val="DT TUYEN"/>
      <sheetName val="DT GIA"/>
      <sheetName val="KHDT"/>
      <sheetName val="KHDT (2)"/>
      <sheetName val="SX-TT"/>
      <sheetName val="CL "/>
      <sheetName val="VTu"/>
      <sheetName val="LDTL"/>
      <sheetName val="KHao"/>
      <sheetName val="LNKD"/>
      <sheetName val="SK"/>
      <sheetName val="TNo"/>
      <sheetName val="CTTH"/>
      <sheetName val="VON"/>
      <sheetName val="VLD"/>
      <sheetName val="KQ (2)"/>
      <sheetName val="Gia VL"/>
      <sheetName val="Bang gia ca may"/>
      <sheetName val="Bang luong CB"/>
      <sheetName val="Bang P.tich CT"/>
      <sheetName val="D.toan chi tiet"/>
      <sheetName val="Bang TH Dtoan"/>
      <sheetName val="Interim payment"/>
      <sheetName val="Letter"/>
      <sheetName val="Bid Sum"/>
      <sheetName val="Item B"/>
      <sheetName val="Dg A"/>
      <sheetName val="Dg B&amp;C"/>
      <sheetName val="Rates&amp;Prices"/>
      <sheetName val="Material at site"/>
      <sheetName val="PTCT"/>
      <sheetName val="CDghino"/>
      <sheetName val="Tonghop"/>
      <sheetName val="TH (T1-6)"/>
      <sheetName val="ThueTB"/>
      <sheetName val="SCD5"/>
      <sheetName val=" NL"/>
      <sheetName val="CPVL-CPM"/>
      <sheetName val="PTVL"/>
      <sheetName val="CD1"/>
      <sheetName val=" NL (2)"/>
      <sheetName val="CDTHCT"/>
      <sheetName val="CDTHCT (3)"/>
      <sheetName val="CHIT"/>
      <sheetName val="THXH"/>
      <sheetName val="BHXH"/>
      <sheetName val="DTHH"/>
      <sheetName val="Bang1"/>
      <sheetName val="TAI TRONG"/>
      <sheetName val="NOI LUC"/>
      <sheetName val="TINH DUYET THTT CHINH"/>
      <sheetName val="TDUYET THTT PHU"/>
      <sheetName val="TINH DAO DONG VA DO VONG"/>
      <sheetName val="TINH NEO"/>
      <sheetName val="Bang VL"/>
      <sheetName val="VL(No V-c)"/>
      <sheetName val="He so"/>
      <sheetName val="PL Vua"/>
      <sheetName val="Chitieu-dam cac loai"/>
      <sheetName val="DG Dam"/>
      <sheetName val="DG chung"/>
      <sheetName val="DGdg"/>
      <sheetName val="VL-dac chung"/>
      <sheetName val="CocKN1m"/>
      <sheetName val="Coc40x40cm"/>
      <sheetName val="CT 1md &amp; dau cong"/>
      <sheetName val="Tong hop"/>
      <sheetName val="CT cong"/>
      <sheetName val="dg cong"/>
      <sheetName val="N1111"/>
      <sheetName val="C1111"/>
      <sheetName val="1121"/>
      <sheetName val="daura"/>
      <sheetName val="dauvao"/>
      <sheetName val="binh do"/>
      <sheetName val="cot lieu"/>
      <sheetName val="van khuon"/>
      <sheetName val="CT BT"/>
      <sheetName val="lay mau"/>
      <sheetName val="mat ngoai goi"/>
      <sheetName val="coc tram-bt"/>
      <sheetName val="C45A-BH"/>
      <sheetName val="C46A-BH"/>
      <sheetName val="C47A-BH"/>
      <sheetName val="C48A-BH"/>
      <sheetName val="S-53-1"/>
      <sheetName val="NAM 2004"/>
      <sheetName val="Congty"/>
      <sheetName val="VPPN"/>
      <sheetName val="XN74"/>
      <sheetName val="XN54"/>
      <sheetName val="XN33"/>
      <sheetName val="NK96"/>
      <sheetName val="XL4Test5"/>
      <sheetName val="Tong Thu"/>
      <sheetName val="Tong Chi"/>
      <sheetName val="Truong hoc"/>
      <sheetName val="Cty CP"/>
      <sheetName val="G.thau 3B"/>
      <sheetName val="T.Hop Thu-chi"/>
      <sheetName val="tong hop thanh toan thue"/>
      <sheetName val="bang ke nop thue"/>
      <sheetName val="Tonh hop chi phi"/>
      <sheetName val="BK chi phi"/>
      <sheetName val="KTra DS va thue GTGT"/>
      <sheetName val="Kiãøm tra DS thue GTGT"/>
      <sheetName val="XUAT(gia von)"/>
      <sheetName val="nhap"/>
      <sheetName val="Xuat (gia ban)"/>
      <sheetName val="Dchinh TH N-X-T"/>
      <sheetName val="Tong hop N-X-T"/>
      <sheetName val="thue TH"/>
      <sheetName val="tong hop 2001"/>
      <sheetName val="qUYET TOAN THUE"/>
      <sheetName val="N-X-T=L"/>
      <sheetName val="CDTHU CHI T1"/>
      <sheetName val="THUCHI 2"/>
      <sheetName val="THU CHI3"/>
      <sheetName val="THU CHI 4"/>
      <sheetName val="THU CHI5"/>
      <sheetName val="THU CHI 6"/>
      <sheetName val="TU CHI 7"/>
      <sheetName val="THU CHI9"/>
      <sheetName val="THU CHI 8"/>
      <sheetName val="THU CHI 10"/>
      <sheetName val="THU CHI 11"/>
      <sheetName val="THU CHI 12"/>
      <sheetName val="be tong"/>
      <sheetName val="Thep"/>
      <sheetName val="Tong hop thep"/>
      <sheetName val="KM"/>
      <sheetName val="KHOANMUC"/>
      <sheetName val="CPQL"/>
      <sheetName val="SANLUONG"/>
      <sheetName val="SSCP-SL"/>
      <sheetName val="KQKD"/>
      <sheetName val="CDSL (2)"/>
      <sheetName val="00000001"/>
      <sheetName val="00000002"/>
      <sheetName val="00000003"/>
      <sheetName val="00000004"/>
      <sheetName val="Thuyet minh"/>
      <sheetName val="CQ-HQ"/>
      <sheetName val="26+180-400.2"/>
      <sheetName val="26+180.Sub1"/>
      <sheetName val="26+180.Sub4"/>
      <sheetName val="26+180-400.5(k95)"/>
      <sheetName val="26+400-620.3(k95)"/>
      <sheetName val="26+400-640.1(k95)"/>
      <sheetName val="26+960-27+150.9"/>
      <sheetName val="26+960-27+150.10"/>
      <sheetName val="26+960-27+150.11"/>
      <sheetName val="26+960-27+150.12"/>
      <sheetName val="26+960-27+150.5(k95)"/>
      <sheetName val="26+960-27+150.4(k95)"/>
      <sheetName val="26+960-27+150.1(k95)"/>
      <sheetName val="27+500-700.5(k95)"/>
      <sheetName val="27+500-700.4(k95)"/>
      <sheetName val="27+500-700.3(k95)"/>
      <sheetName val="27+500-700.1(k95)"/>
      <sheetName val="27+740-920.3(k95)"/>
      <sheetName val="27+740-920.21"/>
      <sheetName val="27+920-28+040.6,7"/>
      <sheetName val="27+920-28+040,8,9"/>
      <sheetName val="27+920-28+040.10"/>
      <sheetName val="27+920-28+040,11"/>
      <sheetName val="27+920-28+160.Su3"/>
      <sheetName val="28+160-28+420,17Top"/>
      <sheetName val="28+160-28+420.5K95"/>
      <sheetName val="28+430-657.7"/>
      <sheetName val="Km28+430-657.8"/>
      <sheetName val="28+430-657.9"/>
      <sheetName val="28+430-667.10"/>
      <sheetName val="28+430-657.11"/>
      <sheetName val="28+430-657.4k95"/>
      <sheetName val="28+500-657.18"/>
      <sheetName val="28+520-657.19"/>
      <sheetName val="PXuat"/>
      <sheetName val="THVT.T5"/>
      <sheetName val="XL1.t5"/>
      <sheetName val="XL2.T5"/>
      <sheetName val="XL3.T5"/>
      <sheetName val="XL5.T5"/>
      <sheetName val="THCCDCXN"/>
      <sheetName val="CC.XL1"/>
      <sheetName val="XL2"/>
      <sheetName val="XL3"/>
      <sheetName val="XL5"/>
      <sheetName val="Cpa"/>
      <sheetName val="khXN"/>
      <sheetName val="KKTS.04"/>
      <sheetName val="nha kct"/>
      <sheetName val="BKVT"/>
      <sheetName val="CT Duong"/>
      <sheetName val="Bia"/>
      <sheetName val="D.gia"/>
      <sheetName val="T.hop"/>
      <sheetName val="Khoan"/>
      <sheetName val="CtP.tro"/>
      <sheetName val="Nha moi"/>
      <sheetName val="NamBanThach"/>
      <sheetName val="KhoanDuong"/>
      <sheetName val="DeNghiDuong"/>
      <sheetName val="TT-BDH-B1"/>
      <sheetName val="TT-T.Tron So 2"/>
      <sheetName val="TT-Doi6-Dot-1"/>
      <sheetName val="ChietTinh"/>
      <sheetName val="Ct.Dam "/>
      <sheetName val="Ct.Duoi"/>
      <sheetName val="Ct.Tren"/>
      <sheetName val="CtVKdam"/>
      <sheetName val="asphal"/>
      <sheetName val="Gvua"/>
      <sheetName val="D.giaMay"/>
      <sheetName val="10000000"/>
      <sheetName val="116(300)"/>
      <sheetName val="116(200)"/>
      <sheetName val="116(150)"/>
      <sheetName val="cd viaK0-T6"/>
      <sheetName val="cdvia T6-Tc24"/>
      <sheetName val="cdvia Tc24-T46"/>
      <sheetName val="cdbtnL2ko-k0+361"/>
      <sheetName val="cd btnL2k0+361-T19"/>
      <sheetName val="01"/>
      <sheetName val="02"/>
      <sheetName val="03"/>
      <sheetName val="04"/>
      <sheetName val="05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Km0-Km1"/>
      <sheetName val="Km1-Km2"/>
      <sheetName val="BU CTPH"/>
      <sheetName val="CTPH"/>
      <sheetName val="BU tran3+360.22"/>
      <sheetName val="Tran3+360.22"/>
      <sheetName val="BU tran2+386.4"/>
      <sheetName val="Tran2+386.4"/>
      <sheetName val="Bu4-5"/>
      <sheetName val="DTcong 4-5"/>
      <sheetName val="BU3-4"/>
      <sheetName val="dtcong3-4"/>
      <sheetName val="bu2-3"/>
      <sheetName val="dtcong2-3"/>
      <sheetName val="Bu 1-2"/>
      <sheetName val="dtcong1-2"/>
      <sheetName val="bu0-1"/>
      <sheetName val="dtcong0-1"/>
      <sheetName val="KLc1"/>
      <sheetName val="klcong"/>
      <sheetName val="Bu 12-13"/>
      <sheetName val="DTcong 12-13"/>
      <sheetName val="BU13-13+"/>
      <sheetName val="DT cong13-13+"/>
      <sheetName val="BU- nhanh"/>
      <sheetName val="Bunh1-2"/>
      <sheetName val="dtcong nh1-2"/>
      <sheetName val="BUnh0-1"/>
      <sheetName val="dtcong nh0-1"/>
      <sheetName val="BU5-6"/>
      <sheetName val="DTcong5-6"/>
      <sheetName val="BU6-7"/>
      <sheetName val="DTcong6-7"/>
      <sheetName val="BU7-8"/>
      <sheetName val="DTcong7-8"/>
      <sheetName val="BU8-9"/>
      <sheetName val="DTcong8-9"/>
      <sheetName val="BU9-10"/>
      <sheetName val="DTcong9-10"/>
      <sheetName val="BU10-11"/>
      <sheetName val="DTcong10-11"/>
      <sheetName val="BU 11-12"/>
      <sheetName val="DTcong 11-12"/>
      <sheetName val="Mnh1-2+80"/>
      <sheetName val="Pr- CC"/>
      <sheetName val="Nnh1-2+80"/>
      <sheetName val="Mnh0-1"/>
      <sheetName val="Nnh0-1"/>
      <sheetName val="MD13-13+334"/>
      <sheetName val="ND13-13+334"/>
      <sheetName val="BU-TK"/>
      <sheetName val="MD12-13"/>
      <sheetName val="ND12-13"/>
      <sheetName val="MD11-12"/>
      <sheetName val="ND11-12"/>
      <sheetName val="MD10-11"/>
      <sheetName val="ND10-11"/>
      <sheetName val="MD9-10"/>
      <sheetName val="ND9-10"/>
      <sheetName val="MD8-9"/>
      <sheetName val="ND8-9"/>
      <sheetName val="MD7-8"/>
      <sheetName val="ND7-8"/>
      <sheetName val="MD6-7"/>
      <sheetName val="ND6-7"/>
      <sheetName val="MD5-6"/>
      <sheetName val="ND5-6"/>
      <sheetName val="MD4-5"/>
      <sheetName val="ND4-5"/>
      <sheetName val="MD 3-4"/>
      <sheetName val="ND 3-4"/>
      <sheetName val="MD2-3"/>
      <sheetName val="ND2-3"/>
      <sheetName val="MD 1-2"/>
      <sheetName val="ND 1-2"/>
      <sheetName val="MD 0-1"/>
      <sheetName val="ND 0-1"/>
      <sheetName val="km11-12"/>
      <sheetName val="km10-11"/>
      <sheetName val="KLN"/>
      <sheetName val="KL tong"/>
      <sheetName val="thkl (2)"/>
      <sheetName val="kht8"/>
      <sheetName val="long tec"/>
      <sheetName val="nlongt"/>
      <sheetName val="tuanb"/>
      <sheetName val="ntuanb"/>
      <sheetName val="nbinh"/>
      <sheetName val="nque"/>
      <sheetName val="ntien"/>
      <sheetName val="ntuanH"/>
      <sheetName val="nmuoi"/>
      <sheetName val="nnghia"/>
      <sheetName val="ntuanM"/>
      <sheetName val="nthi"/>
      <sheetName val="nchung"/>
      <sheetName val="nanh"/>
      <sheetName val="nthang"/>
      <sheetName val="nnguyen"/>
      <sheetName val="ntuc"/>
      <sheetName val="nngan"/>
      <sheetName val="nloi"/>
      <sheetName val="nphuock"/>
      <sheetName val="nphuoch"/>
      <sheetName val="nsonpd"/>
      <sheetName val="nphuock04"/>
      <sheetName val="nphuoch04"/>
      <sheetName val="nphuocpd04"/>
      <sheetName val="nphuocd04"/>
      <sheetName val="nphuoctr04"/>
      <sheetName val="nphuocb04"/>
      <sheetName val="phong"/>
      <sheetName val="Quang Tri"/>
      <sheetName val="TTHue"/>
      <sheetName val="Da Nang"/>
      <sheetName val="Quang Nam"/>
      <sheetName val="Quang Ngai"/>
      <sheetName val="TH DH-QN"/>
      <sheetName val="KP HD"/>
      <sheetName val="DB HD"/>
      <sheetName val="THCT"/>
      <sheetName val="cap cho cac DT"/>
      <sheetName val="Ung - hoan"/>
      <sheetName val="CP may"/>
      <sheetName val="SS"/>
      <sheetName val="NVL"/>
      <sheetName val="CT xa"/>
      <sheetName val="TLGC"/>
      <sheetName val="BL"/>
      <sheetName val="TM"/>
      <sheetName val="BU-gian"/>
      <sheetName val="Bu-Ha"/>
      <sheetName val="PTVT"/>
      <sheetName val="Gia DAN"/>
      <sheetName val="Dan"/>
      <sheetName val="Cuoc"/>
      <sheetName val="Bugia"/>
      <sheetName val="KL57"/>
      <sheetName val="K249 K98"/>
      <sheetName val="K249 K98 (2)"/>
      <sheetName val="K251 K98"/>
      <sheetName val="K251 SBase"/>
      <sheetName val="K251 AC"/>
      <sheetName val="K252 K98"/>
      <sheetName val="K252 SBase"/>
      <sheetName val="K252 AC"/>
      <sheetName val="K253"/>
      <sheetName val="K253 K98"/>
      <sheetName val="K253 Subbase"/>
      <sheetName val="K253 Base "/>
      <sheetName val="K253 SBase"/>
      <sheetName val="K253 AC"/>
      <sheetName val="K255"/>
      <sheetName val="K255 SBase"/>
      <sheetName val="K259"/>
      <sheetName val="K259 K98"/>
      <sheetName val="K259 Subbase"/>
      <sheetName val="K259 Base "/>
      <sheetName val="K259 AC"/>
      <sheetName val="K260"/>
      <sheetName val="K260 K98"/>
      <sheetName val="K260 Subbase"/>
      <sheetName val="K260 Base"/>
      <sheetName val="K260 AC"/>
      <sheetName val="K261"/>
      <sheetName val="K261 K98"/>
      <sheetName val="K261 Base"/>
      <sheetName val="K261 AC"/>
      <sheetName val="DS them luong qui 4-2002"/>
      <sheetName val="Phuc loi 2-9-02"/>
      <sheetName val="PCLB-2002"/>
      <sheetName val="Thuong nhan dip 21-12-02"/>
      <sheetName val="Thuong dip nhan danh hieu AHL§"/>
      <sheetName val="Thang luong thu 13 nam 2002"/>
      <sheetName val="Luong SX# dip Tet Qui Mui(dong)"/>
      <sheetName val="Thep "/>
      <sheetName val="Chi tiet Khoi luong"/>
      <sheetName val="TH khoi luong"/>
      <sheetName val="Chiet tinh vat lieu "/>
      <sheetName val="TH KL VL"/>
      <sheetName val="dutoan1"/>
      <sheetName val="Anhtoan"/>
      <sheetName val="dutoan2"/>
      <sheetName val="vat tu"/>
      <sheetName val="Dc Dau"/>
      <sheetName val=" o to Hien 8"/>
      <sheetName val=" o to Hien9"/>
      <sheetName val=" o to Hien10"/>
      <sheetName val=" o to Hien11"/>
      <sheetName val=" o to Hien12)"/>
      <sheetName val=" o to Hien1"/>
      <sheetName val=" o to Hien2"/>
      <sheetName val=" o to Hien3"/>
      <sheetName val=" o to Hien4"/>
      <sheetName val=" o to Hien5"/>
      <sheetName val=" o to Phong 8"/>
      <sheetName val=" o to Phong9"/>
      <sheetName val=" o to Phong10"/>
      <sheetName val=" o to Phong11"/>
      <sheetName val=" o to Phong12)"/>
      <sheetName val=" o to Phong1"/>
      <sheetName val=" o to Phong2"/>
      <sheetName val=" o to Phong3"/>
      <sheetName val=" o to Phong4"/>
      <sheetName val=" o to Phong5"/>
      <sheetName val=" o to Dung 8 "/>
      <sheetName val=" D tt dau8"/>
      <sheetName val=" o to Dung 9"/>
      <sheetName val=" D9 tt dau"/>
      <sheetName val=" D10 tt dau"/>
      <sheetName val=" o to Dung 10"/>
      <sheetName val=" o to Dung 11"/>
      <sheetName val=" o to Dung 12)"/>
      <sheetName val=" o to Dung 1"/>
      <sheetName val=" o to Dung2"/>
      <sheetName val=" o to Dung3"/>
      <sheetName val=" o to Dung4"/>
      <sheetName val=" o totrongT10-12"/>
      <sheetName val=" o totrongT2"/>
      <sheetName val=" o totrungT10-12"/>
      <sheetName val=" o toMinhT10-12 "/>
      <sheetName val=" o toMinhT2"/>
      <sheetName val=" o toTrieuT10-12  "/>
      <sheetName val="Luong 8 SP"/>
      <sheetName val="Luong 9 SP "/>
      <sheetName val="Luong 10 SP "/>
      <sheetName val="Luong 11 SP "/>
      <sheetName val="Luong 12 SP"/>
      <sheetName val="Luong 1 SP1"/>
      <sheetName val="Luong 2 SP2"/>
      <sheetName val="Luong 3 SP3"/>
      <sheetName val="Luong 4 SP4"/>
      <sheetName val="Luong 4 SP5"/>
      <sheetName val="BTTTLT8"/>
      <sheetName val="BTTTLT9"/>
      <sheetName val="BTTTLT10"/>
      <sheetName val="BTTTLT11"/>
      <sheetName val="BTTTLT12"/>
      <sheetName val="BTTTLT1"/>
      <sheetName val="BTTTLT2"/>
      <sheetName val="BTTTLT3"/>
      <sheetName val="BTTTLT4"/>
      <sheetName val="BTTTLT5"/>
      <sheetName val="huy dong von"/>
      <sheetName val="Lai vayxd"/>
      <sheetName val="Lai vayphaitra"/>
      <sheetName val="Lai vay "/>
      <sheetName val="tra von"/>
      <sheetName val="KH chi tiet"/>
      <sheetName val="nguyen lieu"/>
      <sheetName val="soi tho soi det"/>
      <sheetName val="soi thuong"/>
      <sheetName val="ni"/>
      <sheetName val="vai det"/>
      <sheetName val="chi phi 1tan"/>
      <sheetName val="von luu dong"/>
      <sheetName val="thue VAT"/>
      <sheetName val="doanh thu"/>
      <sheetName val="doanh thu loi nhuan"/>
      <sheetName val="dong tien"/>
      <sheetName val="thu hoi von"/>
      <sheetName val="hoan von"/>
      <sheetName val="dothi npv"/>
      <sheetName val="diem hoa von"/>
      <sheetName val="nop ngan sach"/>
      <sheetName val="chi tieu"/>
      <sheetName val="T1"/>
      <sheetName val="T2"/>
      <sheetName val="T3"/>
      <sheetName val="T4"/>
      <sheetName val="T5"/>
      <sheetName val="t6"/>
      <sheetName val="T7"/>
      <sheetName val="T8"/>
      <sheetName val="T9"/>
      <sheetName val="T10"/>
      <sheetName val="11"/>
      <sheetName val="THop"/>
      <sheetName val="DTCT"/>
      <sheetName val="THDT"/>
      <sheetName val="THVT"/>
      <sheetName val="THGT"/>
      <sheetName val="Tien ung"/>
      <sheetName val="phi luong3"/>
      <sheetName val="sent to"/>
      <sheetName val="Xep hang 201"/>
      <sheetName val="toan Cty"/>
      <sheetName val="Cong ty"/>
      <sheetName val="XN 2"/>
      <sheetName val="XN ong CHi"/>
      <sheetName val="N XDCT&amp; XKLD"/>
      <sheetName val="CN HCM"/>
      <sheetName val="HITECO"/>
      <sheetName val="TT XKLD(Nhan)"/>
      <sheetName val="Ong Hong"/>
      <sheetName val="CN hung yen"/>
      <sheetName val="Dong nai"/>
      <sheetName val="LUU1704"/>
      <sheetName val="THDGK"/>
      <sheetName val="THDGTT"/>
      <sheetName val="Cong hop"/>
      <sheetName val="nt+dd+cl"/>
      <sheetName val="kc+conlaiql"/>
      <sheetName val="kc+clai(107)"/>
      <sheetName val="duong(107)"/>
      <sheetName val="qui1"/>
      <sheetName val="1,3-30,4"/>
      <sheetName val="kldukien"/>
      <sheetName val="kldukien (107)"/>
      <sheetName val="thang4"/>
      <sheetName val="qui1 (2)"/>
      <sheetName val="DT"/>
      <sheetName val="THND"/>
      <sheetName val="THMD"/>
      <sheetName val="Phtro1"/>
      <sheetName val="DTKS1"/>
      <sheetName val="CT1m"/>
      <sheetName val="KL VL"/>
      <sheetName val="KHCTiet"/>
      <sheetName val="QT 9-6"/>
      <sheetName val="Thuong luu HB"/>
      <sheetName val="QT03"/>
      <sheetName val="QT"/>
      <sheetName val="Q1-02"/>
      <sheetName val="Q2-02"/>
      <sheetName val="Q3-02"/>
      <sheetName val="gvl"/>
      <sheetName val="SILICAT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 refreshError="1"/>
      <sheetData sheetId="72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-6T dau"/>
      <sheetName val="NC XL 6T cuoi 01 CTy"/>
      <sheetName val="Tien Thuong"/>
      <sheetName val="Cong 6T"/>
      <sheetName val="Data-year2001i"/>
      <sheetName val="Data _6T dau"/>
      <sheetName val="Data_year2001i"/>
      <sheetName val="Assumption"/>
      <sheetName val="IRR"/>
      <sheetName val="Capacity"/>
      <sheetName val="Yaer 2001"/>
      <sheetName val="KLHT"/>
    </sheetNames>
    <definedNames>
      <definedName name="DataFilter"/>
      <definedName name="DataSort"/>
      <definedName name="GoBack" sheetId="1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GD"/>
      <sheetName val="KT"/>
      <sheetName val="TC"/>
      <sheetName val="KH"/>
      <sheetName val="KD"/>
      <sheetName val="KCS"/>
      <sheetName val="KTNL"/>
      <sheetName val="PX-SX"/>
      <sheetName val="Lcau - Lxuc"/>
      <sheetName val="PX_SX"/>
      <sheetName val="Lcau _ Lxuc"/>
      <sheetName val="Data-year2001i"/>
      <sheetName val="Tien Thuong"/>
      <sheetName val="NC XL 6T cuoi 01 CTy"/>
      <sheetName val="Data -6T dau"/>
      <sheetName val="Cong 6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S-Thuong 6T dau"/>
      <sheetName val="DS_Thuong 6T dau"/>
      <sheetName val="BGD"/>
      <sheetName val="KCS"/>
      <sheetName val="KD"/>
      <sheetName val="KH"/>
      <sheetName val="KT"/>
      <sheetName val="KTNL"/>
      <sheetName val="PX-SX"/>
      <sheetName val="TC"/>
      <sheetName val="Lcau - Lxuc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XL4Poppy"/>
      <sheetName val="DS-Thuong 6T dau"/>
    </sheetNames>
    <sheetDataSet>
      <sheetData sheetId="0"/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 AM DT"/>
      <sheetName val="C,PHI"/>
      <sheetName val="catnen"/>
      <sheetName val="Sum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ia vt,nc,may"/>
      <sheetName val="dongia"/>
      <sheetName val="ptdg"/>
      <sheetName val="XL4Poppy"/>
      <sheetName val="gia vt_nc_may"/>
      <sheetName val="DO AM D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TON"/>
      <sheetName val="gia vt,nc,may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. Code"/>
      <sheetName val="Code"/>
      <sheetName val="BANG KE T1-02 "/>
      <sheetName val="BANG KE T1-02  (2)"/>
      <sheetName val="BANG KE T2 &amp; T3-02"/>
      <sheetName val="Du_lieu"/>
      <sheetName val="BETON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"/>
      <sheetName val="Code KM"/>
      <sheetName val="C. Code"/>
    </sheetNames>
    <sheetDataSet>
      <sheetData sheetId="0"/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 Showbiz"/>
      <sheetName val="Comps Brinker"/>
      <sheetName val="Comps NW Coffee"/>
      <sheetName val="Starbucks P&amp;L Margins"/>
      <sheetName val="Starbucks Balance Sheet Margins"/>
      <sheetName val="Starbucks avg sales"/>
      <sheetName val="Assumption"/>
      <sheetName val="Capacity"/>
      <sheetName val="Salary"/>
      <sheetName val="Pre-Op"/>
      <sheetName val="Budget"/>
      <sheetName val="Electricity"/>
      <sheetName val="Depreciation"/>
      <sheetName val="Sales"/>
      <sheetName val="Sensitivity"/>
      <sheetName val="Project Cost"/>
      <sheetName val="Cashflow"/>
      <sheetName val="IRR"/>
      <sheetName val="Sheet10"/>
      <sheetName val="Sheet11"/>
      <sheetName val="Sheet12"/>
      <sheetName val="Sheet13"/>
      <sheetName val="Sheet14"/>
      <sheetName val="Sheet15"/>
      <sheetName val="Sheet16"/>
      <sheetName val="Module1"/>
      <sheetName val="L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PHOCCAP14PHUONG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C1Q314P1089DDT"/>
      <sheetName val="Q3C2M1P1-&gt;P14"/>
      <sheetName val="Q3C2M2P1-&gt;P14"/>
      <sheetName val="Q3C3TONG HOPM1P1-&gt;P14"/>
      <sheetName val="Q3C3HUYDONGM2P1-&gt;P14"/>
      <sheetName val="Q3C3HIEUQUAM3P1-&gt;P14"/>
      <sheetName val="C3M3P1-&gt;P14 (b)"/>
      <sheetName val="CHUAN C1, C2 ,C3"/>
      <sheetName val="XMCM1"/>
      <sheetName val="XMCM2"/>
      <sheetName val="XMCM3"/>
      <sheetName val="DANHSACHHOCVIENMUCHU(4A)"/>
      <sheetName val="KETQUAHOCVIENXOAMUCHU (5)"/>
      <sheetName val="DANHSACHHOCVIENBOTUCTIEUHOC(6) "/>
      <sheetName val="KETQUAHOCVIENBOTUCTIEUHOC(7)"/>
      <sheetName val="TONG HOPXMC-BTTH(8)"/>
      <sheetName val="TKTNTMAUKH1a Q3"/>
      <sheetName val="THONG KE TRE DI HOC L5,9,12 Q3"/>
      <sheetName val="THONG KE T KHUYET TAT 6T-35T Q3"/>
      <sheetName val="DSTNNT6T-21T"/>
      <sheetName val="DSTKTQ3"/>
      <sheetName val="BAO CAO KET QUA PC"/>
      <sheetName val="00000000"/>
      <sheetName val="10000000"/>
      <sheetName val="20000000"/>
      <sheetName val="30000000"/>
      <sheetName val="40000000"/>
      <sheetName val="50000000"/>
      <sheetName val="60000000"/>
      <sheetName val="gvl"/>
      <sheetName val="Assumption"/>
      <sheetName val="IRR"/>
      <sheetName val="Capacit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em"/>
      <sheetName val="P1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t tron"/>
      <sheetName val="Parem"/>
    </sheetNames>
    <sheetDataSet>
      <sheetData sheetId="0" refreshError="1"/>
      <sheetData sheetId="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eu"/>
      <sheetName val="USdd"/>
      <sheetName val="USdcs"/>
      <sheetName val="USdcq"/>
      <sheetName val="Luc"/>
      <sheetName val="Tongke"/>
      <sheetName val="Lietke"/>
      <sheetName val="CDay"/>
      <sheetName val="DATA"/>
      <sheetName val="Catalog"/>
      <sheetName val="XL4Poppy"/>
      <sheetName val="Setup"/>
      <sheetName val="Sat tr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0B"/>
      <sheetName val="BM0A"/>
      <sheetName val="REQ PAGE CABLE"/>
      <sheetName val="STAHL (2)"/>
      <sheetName val="#REF"/>
      <sheetName val="IBASE"/>
      <sheetName val="DATA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 Showbiz"/>
      <sheetName val="Comps Brinker"/>
      <sheetName val="Comps NW Coffee"/>
      <sheetName val="Starbucks P&amp;L Margins"/>
      <sheetName val="Starbucks Balance Sheet Margins"/>
      <sheetName val="Starbucks avg sales"/>
      <sheetName val="Assumption"/>
      <sheetName val="Capacity"/>
      <sheetName val="Salary"/>
      <sheetName val="Pre-Op"/>
      <sheetName val="Budget"/>
      <sheetName val="Electricity"/>
      <sheetName val="Depreciation"/>
      <sheetName val="Sales"/>
      <sheetName val="Sensitivity"/>
      <sheetName val="Project Cost"/>
      <sheetName val="Cashflow"/>
      <sheetName val="IRR"/>
      <sheetName val="Sheet10"/>
      <sheetName val="Sheet11"/>
      <sheetName val="Sheet12"/>
      <sheetName val="Sheet13"/>
      <sheetName val="Sheet14"/>
      <sheetName val="Sheet15"/>
      <sheetName val="Sheet16"/>
      <sheetName val="Module1"/>
      <sheetName val="ESTI."/>
      <sheetName val="DI-ESTI"/>
      <sheetName val="Master"/>
      <sheetName val="I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. Code"/>
      <sheetName val="Code"/>
      <sheetName val="To khai"/>
      <sheetName val="HDBR"/>
      <sheetName val="Form"/>
      <sheetName val="BK T10"/>
      <sheetName val="HDMV5%"/>
      <sheetName val="HDMV10%"/>
      <sheetName val="HDMV3%"/>
      <sheetName val="SDHD"/>
      <sheetName val="BC Qui"/>
      <sheetName val="BCao nam"/>
      <sheetName val="Sheet3"/>
      <sheetName val="Capacity"/>
      <sheetName val="ESTI."/>
      <sheetName val="DI-EST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de"/>
      <sheetName val="To khai"/>
      <sheetName val="HDBR"/>
      <sheetName val="HDMV5%"/>
      <sheetName val="HDMV10%"/>
      <sheetName val="HDMV3%"/>
      <sheetName val="SDHD"/>
      <sheetName val="XTang"/>
      <sheetName val="BK06 (3)"/>
      <sheetName val="Soft"/>
      <sheetName val="Fr06"/>
      <sheetName val="BK06 (2)"/>
      <sheetName val="BK06 (4)"/>
      <sheetName val="BC Qui"/>
      <sheetName val="BCao nam"/>
      <sheetName val="Sheet1"/>
      <sheetName val="Sheet5"/>
      <sheetName val="Sheet4"/>
      <sheetName val="Sheet3"/>
      <sheetName val="C. Code"/>
      <sheetName val="Capacit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TVT (MAU)"/>
      <sheetName val="PTVT _MAU_"/>
      <sheetName val="Code"/>
      <sheetName val="C. Code"/>
    </sheet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 DOWN-0615-cn"/>
      <sheetName val="BREAK DOWN-0615"/>
      <sheetName val="SUMMARY"/>
      <sheetName val="BREAK DOWN"/>
      <sheetName val="BREAK DOWN_PQ"/>
      <sheetName val="PTVT (MAU)"/>
      <sheetName val="Code"/>
    </sheetNames>
    <sheetDataSet>
      <sheetData sheetId="0"/>
      <sheetData sheetId="1"/>
      <sheetData sheetId="2" refreshError="1"/>
      <sheetData sheetId="3"/>
      <sheetData sheetId="4"/>
      <sheetData sheetId="5" refreshError="1"/>
      <sheetData sheetId="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t"/>
      <sheetName val="Daily No CC_1"/>
      <sheetName val="Daily inv use CC_1"/>
      <sheetName val="10 days Inv"/>
      <sheetName val="monthly stock in"/>
      <sheetName val="Daily stock in"/>
      <sheetName val="Monthly inv_1"/>
      <sheetName val="Daily Inv Ice cream syrup"/>
      <sheetName val="PTVT (MAU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51"/>
  <sheetViews>
    <sheetView workbookViewId="0"/>
  </sheetViews>
  <sheetFormatPr baseColWidth="10" defaultColWidth="11" defaultRowHeight="16"/>
  <cols>
    <col min="1" max="1" width="13.83203125" style="48" customWidth="1"/>
    <col min="2" max="2" width="10.83203125" style="48"/>
  </cols>
  <sheetData>
    <row r="1" spans="1:2" ht="15">
      <c r="A1" s="1" t="s">
        <v>0</v>
      </c>
      <c r="B1" s="1" t="s">
        <v>1</v>
      </c>
    </row>
    <row r="2" spans="1:2">
      <c r="A2" s="49" t="str" cm="1">
        <f t="array" ref="A2">IFERROR(INDEX(BAR!A:A,SMALL(IF((LEFT(BAR!A$2:A$1048576,3)="SRT")+(LEFT(BAR!A$2:A$1048576,3)="PAS")+(LEFT(BAR!A$2:A$1048576,3)="Jelly"),ROW(BAR!A$2:A$1048576)),ROW()-1)),"")</f>
        <v>SRTFC04020001</v>
      </c>
      <c r="B2" s="48">
        <f>IF(COUNTBLANK(A2),"",VLOOKUP(A2,BAR!A:I,9,FALSE))</f>
        <v>10</v>
      </c>
    </row>
    <row r="3" spans="1:2">
      <c r="A3" s="49" t="str" cm="1">
        <f t="array" ref="A3">IFERROR(INDEX(BAR!A:A,SMALL(IF((LEFT(BAR!A$2:A$1048576,3)="SRT")+(LEFT(BAR!A$2:A$1048576,3)="PAS")+(LEFT(BAR!A$2:A$1048576,3)="Jelly"),ROW(BAR!A$2:A$1048576)),ROW()-1)),"")</f>
        <v>SRTFC04020045</v>
      </c>
      <c r="B3" s="48">
        <f>IF(COUNTBLANK(A3),"",VLOOKUP(A3,BAR!A:I,9,FALSE))</f>
        <v>0</v>
      </c>
    </row>
    <row r="4" spans="1:2">
      <c r="A4" s="49" t="str" cm="1">
        <f t="array" ref="A4">IFERROR(INDEX(BAR!A:A,SMALL(IF((LEFT(BAR!A$2:A$1048576,3)="SRT")+(LEFT(BAR!A$2:A$1048576,3)="PAS")+(LEFT(BAR!A$2:A$1048576,3)="Jelly"),ROW(BAR!A$2:A$1048576)),ROW()-1)),"")</f>
        <v>SRTFC04020117</v>
      </c>
      <c r="B4" s="48">
        <f>IF(COUNTBLANK(A4),"",VLOOKUP(A4,BAR!A:I,9,FALSE))</f>
        <v>0</v>
      </c>
    </row>
    <row r="5" spans="1:2">
      <c r="A5" s="49" t="str" cm="1">
        <f t="array" ref="A5">IFERROR(INDEX(BAR!A:A,SMALL(IF((LEFT(BAR!A$2:A$1048576,3)="SRT")+(LEFT(BAR!A$2:A$1048576,3)="PAS")+(LEFT(BAR!A$2:A$1048576,3)="Jelly"),ROW(BAR!A$2:A$1048576)),ROW()-1)),"")</f>
        <v>SRTFC04020118</v>
      </c>
      <c r="B5" s="48">
        <f>IF(COUNTBLANK(A5),"",VLOOKUP(A5,BAR!A:I,9,FALSE))</f>
        <v>0</v>
      </c>
    </row>
    <row r="6" spans="1:2">
      <c r="A6" s="49" t="str" cm="1">
        <f t="array" ref="A6">IFERROR(INDEX(BAR!A:A,SMALL(IF((LEFT(BAR!A$2:A$1048576,3)="SRT")+(LEFT(BAR!A$2:A$1048576,3)="PAS")+(LEFT(BAR!A$2:A$1048576,3)="Jelly"),ROW(BAR!A$2:A$1048576)),ROW()-1)),"")</f>
        <v>SRTFC04020022</v>
      </c>
      <c r="B6" s="48">
        <f>IF(COUNTBLANK(A6),"",VLOOKUP(A6,BAR!A:I,9,FALSE))</f>
        <v>0</v>
      </c>
    </row>
    <row r="7" spans="1:2">
      <c r="A7" s="49" t="str" cm="1">
        <f t="array" ref="A7">IFERROR(INDEX(BAR!A:A,SMALL(IF((LEFT(BAR!A$2:A$1048576,3)="SRT")+(LEFT(BAR!A$2:A$1048576,3)="PAS")+(LEFT(BAR!A$2:A$1048576,3)="Jelly"),ROW(BAR!A$2:A$1048576)),ROW()-1)),"")</f>
        <v>SRTFC04020043</v>
      </c>
      <c r="B7" s="48">
        <f>IF(COUNTBLANK(A7),"",VLOOKUP(A7,BAR!A:I,9,FALSE))</f>
        <v>0</v>
      </c>
    </row>
    <row r="8" spans="1:2">
      <c r="A8" s="49" t="str" cm="1">
        <f t="array" ref="A8">IFERROR(INDEX(BAR!A:A,SMALL(IF((LEFT(BAR!A$2:A$1048576,3)="SRT")+(LEFT(BAR!A$2:A$1048576,3)="PAS")+(LEFT(BAR!A$2:A$1048576,3)="Jelly"),ROW(BAR!A$2:A$1048576)),ROW()-1)),"")</f>
        <v>SRTFC04020071</v>
      </c>
      <c r="B8" s="48">
        <f>IF(COUNTBLANK(A8),"",VLOOKUP(A8,BAR!A:I,9,FALSE))</f>
        <v>0</v>
      </c>
    </row>
    <row r="9" spans="1:2">
      <c r="A9" s="49" t="str" cm="1">
        <f t="array" ref="A9">IFERROR(INDEX(BAR!A:A,SMALL(IF((LEFT(BAR!A$2:A$1048576,3)="SRT")+(LEFT(BAR!A$2:A$1048576,3)="PAS")+(LEFT(BAR!A$2:A$1048576,3)="Jelly"),ROW(BAR!A$2:A$1048576)),ROW()-1)),"")</f>
        <v>SRTFD04020018</v>
      </c>
      <c r="B9" s="48">
        <f>IF(COUNTBLANK(A9),"",VLOOKUP(A9,BAR!A:I,9,FALSE))</f>
        <v>0</v>
      </c>
    </row>
    <row r="10" spans="1:2">
      <c r="A10" s="49" t="str" cm="1">
        <f t="array" ref="A10">IFERROR(INDEX(BAR!A:A,SMALL(IF((LEFT(BAR!A$2:A$1048576,3)="SRT")+(LEFT(BAR!A$2:A$1048576,3)="PAS")+(LEFT(BAR!A$2:A$1048576,3)="Jelly"),ROW(BAR!A$2:A$1048576)),ROW()-1)),"")</f>
        <v>SRTFD04010002</v>
      </c>
      <c r="B10" s="48">
        <f>IF(COUNTBLANK(A10),"",VLOOKUP(A10,BAR!A:I,9,FALSE))</f>
        <v>0</v>
      </c>
    </row>
    <row r="11" spans="1:2">
      <c r="A11" s="49" t="str" cm="1">
        <f t="array" ref="A11">IFERROR(INDEX(BAR!A:A,SMALL(IF((LEFT(BAR!A$2:A$1048576,3)="SRT")+(LEFT(BAR!A$2:A$1048576,3)="PAS")+(LEFT(BAR!A$2:A$1048576,3)="Jelly"),ROW(BAR!A$2:A$1048576)),ROW()-1)),"")</f>
        <v>SRTFD04020041</v>
      </c>
      <c r="B11" s="48">
        <f>IF(COUNTBLANK(A11),"",VLOOKUP(A11,BAR!A:I,9,FALSE))</f>
        <v>0</v>
      </c>
    </row>
    <row r="12" spans="1:2">
      <c r="A12" s="49" t="str" cm="1">
        <f t="array" ref="A12">IFERROR(INDEX(BAR!A:A,SMALL(IF((LEFT(BAR!A$2:A$1048576,3)="SRT")+(LEFT(BAR!A$2:A$1048576,3)="PAS")+(LEFT(BAR!A$2:A$1048576,3)="Jelly"),ROW(BAR!A$2:A$1048576)),ROW()-1)),"")</f>
        <v>SRTFD04020027</v>
      </c>
      <c r="B12" s="48">
        <f>IF(COUNTBLANK(A12),"",VLOOKUP(A12,BAR!A:I,9,FALSE))</f>
        <v>0</v>
      </c>
    </row>
    <row r="13" spans="1:2">
      <c r="A13" s="49" t="str" cm="1">
        <f t="array" ref="A13">IFERROR(INDEX(BAR!A:A,SMALL(IF((LEFT(BAR!A$2:A$1048576,3)="SRT")+(LEFT(BAR!A$2:A$1048576,3)="PAS")+(LEFT(BAR!A$2:A$1048576,3)="Jelly"),ROW(BAR!A$2:A$1048576)),ROW()-1)),"")</f>
        <v>SRTFC04020031</v>
      </c>
      <c r="B13" s="48">
        <f>IF(COUNTBLANK(A13),"",VLOOKUP(A13,BAR!A:I,9,FALSE))</f>
        <v>0</v>
      </c>
    </row>
    <row r="14" spans="1:2">
      <c r="A14" s="49" t="str" cm="1">
        <f t="array" ref="A14">IFERROR(INDEX(BAR!A:A,SMALL(IF((LEFT(BAR!A$2:A$1048576,3)="SRT")+(LEFT(BAR!A$2:A$1048576,3)="PAS")+(LEFT(BAR!A$2:A$1048576,3)="Jelly"),ROW(BAR!A$2:A$1048576)),ROW()-1)),"")</f>
        <v>SRTFD04060015</v>
      </c>
      <c r="B14" s="48">
        <f>IF(COUNTBLANK(A14),"",VLOOKUP(A14,BAR!A:I,9,FALSE))</f>
        <v>0</v>
      </c>
    </row>
    <row r="15" spans="1:2">
      <c r="A15" s="49" t="str" cm="1">
        <f t="array" ref="A15">IFERROR(INDEX(BAR!A:A,SMALL(IF((LEFT(BAR!A$2:A$1048576,3)="SRT")+(LEFT(BAR!A$2:A$1048576,3)="PAS")+(LEFT(BAR!A$2:A$1048576,3)="Jelly"),ROW(BAR!A$2:A$1048576)),ROW()-1)),"")</f>
        <v>PASFD01010056</v>
      </c>
      <c r="B15" s="48">
        <f>IF(COUNTBLANK(A15),"",VLOOKUP(A15,BAR!A:I,9,FALSE))</f>
        <v>0</v>
      </c>
    </row>
    <row r="16" spans="1:2">
      <c r="A16" s="49" t="str" cm="1">
        <f t="array" ref="A16">IFERROR(INDEX(BAR!A:A,SMALL(IF((LEFT(BAR!A$2:A$1048576,3)="SRT")+(LEFT(BAR!A$2:A$1048576,3)="PAS")+(LEFT(BAR!A$2:A$1048576,3)="Jelly"),ROW(BAR!A$2:A$1048576)),ROW()-1)),"")</f>
        <v>SRTFD08020036</v>
      </c>
      <c r="B16" s="48">
        <f>IF(COUNTBLANK(A16),"",VLOOKUP(A16,BAR!A:I,9,FALSE))</f>
        <v>0</v>
      </c>
    </row>
    <row r="17" spans="1:2">
      <c r="A17" s="49" t="str" cm="1">
        <f t="array" ref="A17">IFERROR(INDEX(BAR!A:A,SMALL(IF((LEFT(BAR!A$2:A$1048576,3)="SRT")+(LEFT(BAR!A$2:A$1048576,3)="PAS")+(LEFT(BAR!A$2:A$1048576,3)="Jelly"),ROW(BAR!A$2:A$1048576)),ROW()-1)),"")</f>
        <v>SRTFD08020035</v>
      </c>
      <c r="B17" s="48">
        <f>IF(COUNTBLANK(A17),"",VLOOKUP(A17,BAR!A:I,9,FALSE))</f>
        <v>0</v>
      </c>
    </row>
    <row r="18" spans="1:2">
      <c r="A18" s="49" t="str" cm="1">
        <f t="array" ref="A18">IFERROR(INDEX(BAR!A:A,SMALL(IF((LEFT(BAR!A$2:A$1048576,3)="SRT")+(LEFT(BAR!A$2:A$1048576,3)="PAS")+(LEFT(BAR!A$2:A$1048576,3)="Jelly"),ROW(BAR!A$2:A$1048576)),ROW()-1)),"")</f>
        <v>SRTFD08020037</v>
      </c>
      <c r="B18" s="48">
        <f>IF(COUNTBLANK(A18),"",VLOOKUP(A18,BAR!A:I,9,FALSE))</f>
        <v>0</v>
      </c>
    </row>
    <row r="19" spans="1:2">
      <c r="A19" s="49" t="str" cm="1">
        <f t="array" ref="A19">IFERROR(INDEX(BAR!A:A,SMALL(IF((LEFT(BAR!A$2:A$1048576,3)="SRT")+(LEFT(BAR!A$2:A$1048576,3)="PAS")+(LEFT(BAR!A$2:A$1048576,3)="Jelly"),ROW(BAR!A$2:A$1048576)),ROW()-1)),"")</f>
        <v>SRTFD07030002</v>
      </c>
      <c r="B19" s="48">
        <f>IF(COUNTBLANK(A19),"",VLOOKUP(A19,BAR!A:I,9,FALSE))</f>
        <v>0</v>
      </c>
    </row>
    <row r="20" spans="1:2">
      <c r="A20" s="49" t="str" cm="1">
        <f t="array" ref="A20">IFERROR(INDEX(BAR!A:A,SMALL(IF((LEFT(BAR!A$2:A$1048576,3)="SRT")+(LEFT(BAR!A$2:A$1048576,3)="PAS")+(LEFT(BAR!A$2:A$1048576,3)="Jelly"),ROW(BAR!A$2:A$1048576)),ROW()-1)),"")</f>
        <v>SRTFC07030003</v>
      </c>
      <c r="B20" s="48">
        <f>IF(COUNTBLANK(A20),"",VLOOKUP(A20,BAR!A:I,9,FALSE))</f>
        <v>0</v>
      </c>
    </row>
    <row r="21" spans="1:2">
      <c r="A21" s="49" t="str" cm="1">
        <f t="array" ref="A21">IFERROR(INDEX(BAR!A:A,SMALL(IF((LEFT(BAR!A$2:A$1048576,3)="SRT")+(LEFT(BAR!A$2:A$1048576,3)="PAS")+(LEFT(BAR!A$2:A$1048576,3)="Jelly"),ROW(BAR!A$2:A$1048576)),ROW()-1)),"")</f>
        <v>SRTFC07020001</v>
      </c>
      <c r="B21" s="48">
        <f>IF(COUNTBLANK(A21),"",VLOOKUP(A21,BAR!A:I,9,FALSE))</f>
        <v>0</v>
      </c>
    </row>
    <row r="22" spans="1:2">
      <c r="A22" s="49" t="str" cm="1">
        <f t="array" ref="A22">IFERROR(INDEX(BAR!A:A,SMALL(IF((LEFT(BAR!A$2:A$1048576,3)="SRT")+(LEFT(BAR!A$2:A$1048576,3)="PAS")+(LEFT(BAR!A$2:A$1048576,3)="Jelly"),ROW(BAR!A$2:A$1048576)),ROW()-1)),"")</f>
        <v>SRTFC07020008</v>
      </c>
      <c r="B22" s="48">
        <f>IF(COUNTBLANK(A22),"",VLOOKUP(A22,BAR!A:I,9,FALSE))</f>
        <v>0</v>
      </c>
    </row>
    <row r="23" spans="1:2">
      <c r="A23" s="49" t="str" cm="1">
        <f t="array" ref="A23">IFERROR(INDEX(BAR!A:A,SMALL(IF((LEFT(BAR!A$2:A$1048576,3)="SRT")+(LEFT(BAR!A$2:A$1048576,3)="PAS")+(LEFT(BAR!A$2:A$1048576,3)="Jelly"),ROW(BAR!A$2:A$1048576)),ROW()-1)),"")</f>
        <v>SRTFC07020018</v>
      </c>
      <c r="B23" s="48">
        <f>IF(COUNTBLANK(A23),"",VLOOKUP(A23,BAR!A:I,9,FALSE))</f>
        <v>0</v>
      </c>
    </row>
    <row r="24" spans="1:2">
      <c r="A24" s="49" t="str" cm="1">
        <f t="array" ref="A24">IFERROR(INDEX(BAR!A:A,SMALL(IF((LEFT(BAR!A$2:A$1048576,3)="SRT")+(LEFT(BAR!A$2:A$1048576,3)="PAS")+(LEFT(BAR!A$2:A$1048576,3)="Jelly"),ROW(BAR!A$2:A$1048576)),ROW()-1)),"")</f>
        <v>SRTFC07020026</v>
      </c>
      <c r="B24" s="48">
        <f>IF(COUNTBLANK(A24),"",VLOOKUP(A24,BAR!A:I,9,FALSE))</f>
        <v>0</v>
      </c>
    </row>
    <row r="25" spans="1:2">
      <c r="A25" s="49" t="str" cm="1">
        <f t="array" ref="A25">IFERROR(INDEX(BAR!A:A,SMALL(IF((LEFT(BAR!A$2:A$1048576,3)="SRT")+(LEFT(BAR!A$2:A$1048576,3)="PAS")+(LEFT(BAR!A$2:A$1048576,3)="Jelly"),ROW(BAR!A$2:A$1048576)),ROW()-1)),"")</f>
        <v>SRTFD01010002</v>
      </c>
      <c r="B25" s="48">
        <f>IF(COUNTBLANK(A25),"",VLOOKUP(A25,BAR!A:I,9,FALSE))</f>
        <v>0</v>
      </c>
    </row>
    <row r="26" spans="1:2">
      <c r="A26" s="49" t="str" cm="1">
        <f t="array" ref="A26">IFERROR(INDEX(BAR!A:A,SMALL(IF((LEFT(BAR!A$2:A$1048576,3)="SRT")+(LEFT(BAR!A$2:A$1048576,3)="PAS")+(LEFT(BAR!A$2:A$1048576,3)="Jelly"),ROW(BAR!A$2:A$1048576)),ROW()-1)),"")</f>
        <v>SRTFD01060002</v>
      </c>
      <c r="B26" s="48">
        <f>IF(COUNTBLANK(A26),"",VLOOKUP(A26,BAR!A:I,9,FALSE))</f>
        <v>0</v>
      </c>
    </row>
    <row r="27" spans="1:2">
      <c r="A27" s="49" t="str" cm="1">
        <f t="array" ref="A27">IFERROR(INDEX(BAR!A:A,SMALL(IF((LEFT(BAR!A$2:A$1048576,3)="SRT")+(LEFT(BAR!A$2:A$1048576,3)="PAS")+(LEFT(BAR!A$2:A$1048576,3)="Jelly"),ROW(BAR!A$2:A$1048576)),ROW()-1)),"")</f>
        <v>SRTFD01040015</v>
      </c>
      <c r="B27" s="48">
        <f>IF(COUNTBLANK(A27),"",VLOOKUP(A27,BAR!A:I,9,FALSE))</f>
        <v>0</v>
      </c>
    </row>
    <row r="28" spans="1:2">
      <c r="A28" s="49" t="str" cm="1">
        <f t="array" ref="A28">IFERROR(INDEX(BAR!A:A,SMALL(IF((LEFT(BAR!A$2:A$1048576,3)="SRT")+(LEFT(BAR!A$2:A$1048576,3)="PAS")+(LEFT(BAR!A$2:A$1048576,3)="Jelly"),ROW(BAR!A$2:A$1048576)),ROW()-1)),"")</f>
        <v>SRTFD01050031</v>
      </c>
      <c r="B28" s="48">
        <f>IF(COUNTBLANK(A28),"",VLOOKUP(A28,BAR!A:I,9,FALSE))</f>
        <v>0</v>
      </c>
    </row>
    <row r="29" spans="1:2">
      <c r="A29" s="49" t="str" cm="1">
        <f t="array" ref="A29">IFERROR(INDEX(BAR!A:A,SMALL(IF((LEFT(BAR!A$2:A$1048576,3)="SRT")+(LEFT(BAR!A$2:A$1048576,3)="PAS")+(LEFT(BAR!A$2:A$1048576,3)="Jelly"),ROW(BAR!A$2:A$1048576)),ROW()-1)),"")</f>
        <v>SRTFD01030018</v>
      </c>
      <c r="B29" s="48">
        <f>IF(COUNTBLANK(A29),"",VLOOKUP(A29,BAR!A:I,9,FALSE))</f>
        <v>0</v>
      </c>
    </row>
    <row r="30" spans="1:2">
      <c r="A30" s="49" t="str" cm="1">
        <f t="array" ref="A30">IFERROR(INDEX(BAR!A:A,SMALL(IF((LEFT(BAR!A$2:A$1048576,3)="SRT")+(LEFT(BAR!A$2:A$1048576,3)="PAS")+(LEFT(BAR!A$2:A$1048576,3)="Jelly"),ROW(BAR!A$2:A$1048576)),ROW()-1)),"")</f>
        <v>SRTFD01030028</v>
      </c>
      <c r="B30" s="48">
        <f>IF(COUNTBLANK(A30),"",VLOOKUP(A30,BAR!A:I,9,FALSE))</f>
        <v>0</v>
      </c>
    </row>
    <row r="31" spans="1:2">
      <c r="A31" s="49" t="str" cm="1">
        <f t="array" ref="A31">IFERROR(INDEX(BAR!A:A,SMALL(IF((LEFT(BAR!A$2:A$1048576,3)="SRT")+(LEFT(BAR!A$2:A$1048576,3)="PAS")+(LEFT(BAR!A$2:A$1048576,3)="Jelly"),ROW(BAR!A$2:A$1048576)),ROW()-1)),"")</f>
        <v>SRTFD01050027</v>
      </c>
      <c r="B31" s="48">
        <f>IF(COUNTBLANK(A31),"",VLOOKUP(A31,BAR!A:I,9,FALSE))</f>
        <v>0</v>
      </c>
    </row>
    <row r="32" spans="1:2">
      <c r="A32" s="49" t="str" cm="1">
        <f t="array" ref="A32">IFERROR(INDEX(BAR!A:A,SMALL(IF((LEFT(BAR!A$2:A$1048576,3)="SRT")+(LEFT(BAR!A$2:A$1048576,3)="PAS")+(LEFT(BAR!A$2:A$1048576,3)="Jelly"),ROW(BAR!A$2:A$1048576)),ROW()-1)),"")</f>
        <v>SRTFD03040027</v>
      </c>
      <c r="B32" s="48">
        <f>IF(COUNTBLANK(A32),"",VLOOKUP(A32,BAR!A:I,9,FALSE))</f>
        <v>0</v>
      </c>
    </row>
    <row r="33" spans="1:2">
      <c r="A33" s="49" t="str" cm="1">
        <f t="array" ref="A33">IFERROR(INDEX(BAR!A:A,SMALL(IF((LEFT(BAR!A$2:A$1048576,3)="SRT")+(LEFT(BAR!A$2:A$1048576,3)="PAS")+(LEFT(BAR!A$2:A$1048576,3)="Jelly"),ROW(BAR!A$2:A$1048576)),ROW()-1)),"")</f>
        <v>SRTFD03020030</v>
      </c>
      <c r="B33" s="48">
        <f>IF(COUNTBLANK(A33),"",VLOOKUP(A33,BAR!A:I,9,FALSE))</f>
        <v>0</v>
      </c>
    </row>
    <row r="34" spans="1:2">
      <c r="A34" s="49" t="str" cm="1">
        <f t="array" ref="A34">IFERROR(INDEX(BAR!A:A,SMALL(IF((LEFT(BAR!A$2:A$1048576,3)="SRT")+(LEFT(BAR!A$2:A$1048576,3)="PAS")+(LEFT(BAR!A$2:A$1048576,3)="Jelly"),ROW(BAR!A$2:A$1048576)),ROW()-1)),"")</f>
        <v>SRTFD03020011</v>
      </c>
      <c r="B34" s="48">
        <f>IF(COUNTBLANK(A34),"",VLOOKUP(A34,BAR!A:I,9,FALSE))</f>
        <v>0</v>
      </c>
    </row>
    <row r="35" spans="1:2">
      <c r="A35" s="49" t="str" cm="1">
        <f t="array" ref="A35">IFERROR(INDEX(BAR!A:A,SMALL(IF((LEFT(BAR!A$2:A$1048576,3)="SRT")+(LEFT(BAR!A$2:A$1048576,3)="PAS")+(LEFT(BAR!A$2:A$1048576,3)="Jelly"),ROW(BAR!A$2:A$1048576)),ROW()-1)),"")</f>
        <v>SRTFD03020009</v>
      </c>
      <c r="B35" s="48">
        <f>IF(COUNTBLANK(A35),"",VLOOKUP(A35,BAR!A:I,9,FALSE))</f>
        <v>0</v>
      </c>
    </row>
    <row r="36" spans="1:2">
      <c r="A36" s="49" t="str" cm="1">
        <f t="array" ref="A36">IFERROR(INDEX(BAR!A:A,SMALL(IF((LEFT(BAR!A$2:A$1048576,3)="SRT")+(LEFT(BAR!A$2:A$1048576,3)="PAS")+(LEFT(BAR!A$2:A$1048576,3)="Jelly"),ROW(BAR!A$2:A$1048576)),ROW()-1)),"")</f>
        <v>SRTFD03020012</v>
      </c>
      <c r="B36" s="48">
        <f>IF(COUNTBLANK(A36),"",VLOOKUP(A36,BAR!A:I,9,FALSE))</f>
        <v>0</v>
      </c>
    </row>
    <row r="37" spans="1:2">
      <c r="A37" s="49" t="str" cm="1">
        <f t="array" ref="A37">IFERROR(INDEX(BAR!A:A,SMALL(IF((LEFT(BAR!A$2:A$1048576,3)="SRT")+(LEFT(BAR!A$2:A$1048576,3)="PAS")+(LEFT(BAR!A$2:A$1048576,3)="Jelly"),ROW(BAR!A$2:A$1048576)),ROW()-1)),"")</f>
        <v>SRTFD03040023</v>
      </c>
      <c r="B37" s="48">
        <f>IF(COUNTBLANK(A37),"",VLOOKUP(A37,BAR!A:I,9,FALSE))</f>
        <v>0</v>
      </c>
    </row>
    <row r="38" spans="1:2">
      <c r="A38" s="49" t="str" cm="1">
        <f t="array" ref="A38">IFERROR(INDEX(BAR!A:A,SMALL(IF((LEFT(BAR!A$2:A$1048576,3)="SRT")+(LEFT(BAR!A$2:A$1048576,3)="PAS")+(LEFT(BAR!A$2:A$1048576,3)="Jelly"),ROW(BAR!A$2:A$1048576)),ROW()-1)),"")</f>
        <v>SRTFD04070021</v>
      </c>
      <c r="B38" s="48">
        <f>IF(COUNTBLANK(A38),"",VLOOKUP(A38,BAR!A:I,9,FALSE))</f>
        <v>0</v>
      </c>
    </row>
    <row r="39" spans="1:2">
      <c r="A39" s="49" t="str" cm="1">
        <f t="array" ref="A39">IFERROR(INDEX(BAR!A:A,SMALL(IF((LEFT(BAR!A$2:A$1048576,3)="SRT")+(LEFT(BAR!A$2:A$1048576,3)="PAS")+(LEFT(BAR!A$2:A$1048576,3)="Jelly"),ROW(BAR!A$2:A$1048576)),ROW()-1)),"")</f>
        <v>SRTFD04070028</v>
      </c>
      <c r="B39" s="48">
        <f>IF(COUNTBLANK(A39),"",VLOOKUP(A39,BAR!A:I,9,FALSE))</f>
        <v>0</v>
      </c>
    </row>
    <row r="40" spans="1:2">
      <c r="A40" s="49" t="str" cm="1">
        <f t="array" ref="A40">IFERROR(INDEX(BAR!A:A,SMALL(IF((LEFT(BAR!A$2:A$1048576,3)="SRT")+(LEFT(BAR!A$2:A$1048576,3)="PAS")+(LEFT(BAR!A$2:A$1048576,3)="Jelly"),ROW(BAR!A$2:A$1048576)),ROW()-1)),"")</f>
        <v>SRTFD03040031</v>
      </c>
      <c r="B40" s="48">
        <f>IF(COUNTBLANK(A40),"",VLOOKUP(A40,BAR!A:I,9,FALSE))</f>
        <v>0</v>
      </c>
    </row>
    <row r="41" spans="1:2">
      <c r="A41" s="49" t="str" cm="1">
        <f t="array" ref="A41">IFERROR(INDEX(BAR!A:A,SMALL(IF((LEFT(BAR!A$2:A$1048576,3)="SRT")+(LEFT(BAR!A$2:A$1048576,3)="PAS")+(LEFT(BAR!A$2:A$1048576,3)="Jelly"),ROW(BAR!A$2:A$1048576)),ROW()-1)),"")</f>
        <v>SRTFD03020050</v>
      </c>
      <c r="B41" s="48">
        <f>IF(COUNTBLANK(A41),"",VLOOKUP(A41,BAR!A:I,9,FALSE))</f>
        <v>0</v>
      </c>
    </row>
    <row r="42" spans="1:2">
      <c r="A42" s="49" t="str" cm="1">
        <f t="array" ref="A42">IFERROR(INDEX(BAR!A:A,SMALL(IF((LEFT(BAR!A$2:A$1048576,3)="SRT")+(LEFT(BAR!A$2:A$1048576,3)="PAS")+(LEFT(BAR!A$2:A$1048576,3)="Jelly"),ROW(BAR!A$2:A$1048576)),ROW()-1)),"")</f>
        <v>SRTFD03020049</v>
      </c>
      <c r="B42" s="48">
        <f>IF(COUNTBLANK(A42),"",VLOOKUP(A42,BAR!A:I,9,FALSE))</f>
        <v>0</v>
      </c>
    </row>
    <row r="43" spans="1:2">
      <c r="A43" s="49" t="str" cm="1">
        <f t="array" ref="A43">IFERROR(INDEX(BAR!A:A,SMALL(IF((LEFT(BAR!A$2:A$1048576,3)="SRT")+(LEFT(BAR!A$2:A$1048576,3)="PAS")+(LEFT(BAR!A$2:A$1048576,3)="Jelly"),ROW(BAR!A$2:A$1048576)),ROW()-1)),"")</f>
        <v>SRTFD03020045</v>
      </c>
      <c r="B43" s="48">
        <f>IF(COUNTBLANK(A43),"",VLOOKUP(A43,BAR!A:I,9,FALSE))</f>
        <v>0</v>
      </c>
    </row>
    <row r="44" spans="1:2">
      <c r="A44" s="49" t="str" cm="1">
        <f t="array" ref="A44">IFERROR(INDEX(BAR!A:A,SMALL(IF((LEFT(BAR!A$2:A$1048576,3)="SRT")+(LEFT(BAR!A$2:A$1048576,3)="PAS")+(LEFT(BAR!A$2:A$1048576,3)="Jelly"),ROW(BAR!A$2:A$1048576)),ROW()-1)),"")</f>
        <v>SRTFD04070030</v>
      </c>
      <c r="B44" s="48">
        <f>IF(COUNTBLANK(A44),"",VLOOKUP(A44,BAR!A:I,9,FALSE))</f>
        <v>0</v>
      </c>
    </row>
    <row r="45" spans="1:2">
      <c r="A45" s="49" t="str" cm="1">
        <f t="array" ref="A45">IFERROR(INDEX(BAR!A:A,SMALL(IF((LEFT(BAR!A$2:A$1048576,3)="SRT")+(LEFT(BAR!A$2:A$1048576,3)="PAS")+(LEFT(BAR!A$2:A$1048576,3)="Jelly"),ROW(BAR!A$2:A$1048576)),ROW()-1)),"")</f>
        <v>SRTFD03040039</v>
      </c>
      <c r="B45" s="48">
        <f>IF(COUNTBLANK(A45),"",VLOOKUP(A45,BAR!A:I,9,FALSE))</f>
        <v>0</v>
      </c>
    </row>
    <row r="46" spans="1:2">
      <c r="A46" s="49" t="str" cm="1">
        <f t="array" ref="A46">IFERROR(INDEX(BAR!A:A,SMALL(IF((LEFT(BAR!A$2:A$1048576,3)="SRT")+(LEFT(BAR!A$2:A$1048576,3)="PAS")+(LEFT(BAR!A$2:A$1048576,3)="Jelly"),ROW(BAR!A$2:A$1048576)),ROW()-1)),"")</f>
        <v>SRTFD03020055</v>
      </c>
      <c r="B46" s="48">
        <f>IF(COUNTBLANK(A46),"",VLOOKUP(A46,BAR!A:I,9,FALSE))</f>
        <v>0</v>
      </c>
    </row>
    <row r="47" spans="1:2">
      <c r="A47" s="49" t="str" cm="1">
        <f t="array" ref="A47">IFERROR(INDEX(BAR!A:A,SMALL(IF((LEFT(BAR!A$2:A$1048576,3)="SRT")+(LEFT(BAR!A$2:A$1048576,3)="PAS")+(LEFT(BAR!A$2:A$1048576,3)="Jelly"),ROW(BAR!A$2:A$1048576)),ROW()-1)),"")</f>
        <v>SRTFD03020034</v>
      </c>
      <c r="B47" s="48">
        <f>IF(COUNTBLANK(A47),"",VLOOKUP(A47,BAR!A:I,9,FALSE))</f>
        <v>0</v>
      </c>
    </row>
    <row r="48" spans="1:2">
      <c r="A48" s="49" t="str" cm="1">
        <f t="array" ref="A48">IFERROR(INDEX(BAR!A:A,SMALL(IF((LEFT(BAR!A$2:A$1048576,3)="SRT")+(LEFT(BAR!A$2:A$1048576,3)="PAS")+(LEFT(BAR!A$2:A$1048576,3)="Jelly"),ROW(BAR!A$2:A$1048576)),ROW()-1)),"")</f>
        <v>SRTFD05010111</v>
      </c>
      <c r="B48" s="48">
        <f>IF(COUNTBLANK(A48),"",VLOOKUP(A48,BAR!A:I,9,FALSE))</f>
        <v>0</v>
      </c>
    </row>
    <row r="49" spans="1:2">
      <c r="A49" s="49" t="str" cm="1">
        <f t="array" ref="A49">IFERROR(INDEX(BAR!A:A,SMALL(IF((LEFT(BAR!A$2:A$1048576,3)="SRT")+(LEFT(BAR!A$2:A$1048576,3)="PAS")+(LEFT(BAR!A$2:A$1048576,3)="Jelly"),ROW(BAR!A$2:A$1048576)),ROW()-1)),"")</f>
        <v>SRTFD03020056</v>
      </c>
      <c r="B49" s="48">
        <f>IF(COUNTBLANK(A49),"",VLOOKUP(A49,BAR!A:I,9,FALSE))</f>
        <v>0</v>
      </c>
    </row>
    <row r="50" spans="1:2">
      <c r="A50" s="49" t="str" cm="1">
        <f t="array" ref="A50">IFERROR(INDEX(BAR!A:A,SMALL(IF((LEFT(BAR!A$2:A$1048576,3)="SRT")+(LEFT(BAR!A$2:A$1048576,3)="PAS")+(LEFT(BAR!A$2:A$1048576,3)="Jelly"),ROW(BAR!A$2:A$1048576)),ROW()-1)),"")</f>
        <v>SRTFD04020049</v>
      </c>
      <c r="B50" s="48">
        <f>IF(COUNTBLANK(A50),"",VLOOKUP(A50,BAR!A:I,9,FALSE))</f>
        <v>0</v>
      </c>
    </row>
    <row r="51" spans="1:2">
      <c r="A51" s="49" t="str" cm="1">
        <f t="array" ref="A51">IFERROR(INDEX(BAR!A:A,SMALL(IF((LEFT(BAR!A$2:A$1048576,3)="SRT")+(LEFT(BAR!A$2:A$1048576,3)="PAS")+(LEFT(BAR!A$2:A$1048576,3)="Jelly"),ROW(BAR!A$2:A$1048576)),ROW()-1)),"")</f>
        <v>SRTFD01050021</v>
      </c>
      <c r="B51" s="48">
        <f>IF(COUNTBLANK(A51),"",VLOOKUP(A51,BAR!A:I,9,FALSE))</f>
        <v>0</v>
      </c>
    </row>
    <row r="52" spans="1:2">
      <c r="A52" s="49" t="str" cm="1">
        <f t="array" ref="A52">IFERROR(INDEX(BAR!A:A,SMALL(IF((LEFT(BAR!A$2:A$1048576,3)="SRT")+(LEFT(BAR!A$2:A$1048576,3)="PAS")+(LEFT(BAR!A$2:A$1048576,3)="Jelly"),ROW(BAR!A$2:A$1048576)),ROW()-1)),"")</f>
        <v>SRTFD01050020</v>
      </c>
      <c r="B52" s="48">
        <f>IF(COUNTBLANK(A52),"",VLOOKUP(A52,BAR!A:I,9,FALSE))</f>
        <v>0</v>
      </c>
    </row>
    <row r="53" spans="1:2">
      <c r="A53" s="49" t="str" cm="1">
        <f t="array" ref="A53">IFERROR(INDEX(BAR!A:A,SMALL(IF((LEFT(BAR!A$2:A$1048576,3)="SRT")+(LEFT(BAR!A$2:A$1048576,3)="PAS")+(LEFT(BAR!A$2:A$1048576,3)="Jelly"),ROW(BAR!A$2:A$1048576)),ROW()-1)),"")</f>
        <v>SRTFD01050022</v>
      </c>
      <c r="B53" s="48">
        <f>IF(COUNTBLANK(A53),"",VLOOKUP(A53,BAR!A:I,9,FALSE))</f>
        <v>0</v>
      </c>
    </row>
    <row r="54" spans="1:2">
      <c r="A54" s="49" t="str" cm="1">
        <f t="array" ref="A54">IFERROR(INDEX(BAR!A:A,SMALL(IF((LEFT(BAR!A$2:A$1048576,3)="SRT")+(LEFT(BAR!A$2:A$1048576,3)="PAS")+(LEFT(BAR!A$2:A$1048576,3)="Jelly"),ROW(BAR!A$2:A$1048576)),ROW()-1)),"")</f>
        <v>SRTFD01050040</v>
      </c>
      <c r="B54" s="48">
        <f>IF(COUNTBLANK(A54),"",VLOOKUP(A54,BAR!A:I,9,FALSE))</f>
        <v>0</v>
      </c>
    </row>
    <row r="55" spans="1:2">
      <c r="A55" s="49" t="str" cm="1">
        <f t="array" ref="A55">IFERROR(INDEX(BAR!A:A,SMALL(IF((LEFT(BAR!A$2:A$1048576,3)="SRT")+(LEFT(BAR!A$2:A$1048576,3)="PAS")+(LEFT(BAR!A$2:A$1048576,3)="Jelly"),ROW(BAR!A$2:A$1048576)),ROW()-1)),"")</f>
        <v>SRTFD01050030</v>
      </c>
      <c r="B55" s="48">
        <f>IF(COUNTBLANK(A55),"",VLOOKUP(A55,BAR!A:I,9,FALSE))</f>
        <v>0</v>
      </c>
    </row>
    <row r="56" spans="1:2">
      <c r="A56" s="49" t="str" cm="1">
        <f t="array" ref="A56">IFERROR(INDEX(BAR!A:A,SMALL(IF((LEFT(BAR!A$2:A$1048576,3)="SRT")+(LEFT(BAR!A$2:A$1048576,3)="PAS")+(LEFT(BAR!A$2:A$1048576,3)="Jelly"),ROW(BAR!A$2:A$1048576)),ROW()-1)),"")</f>
        <v>SRTFD01020041</v>
      </c>
      <c r="B56" s="48">
        <f>IF(COUNTBLANK(A56),"",VLOOKUP(A56,BAR!A:I,9,FALSE))</f>
        <v>0</v>
      </c>
    </row>
    <row r="57" spans="1:2">
      <c r="A57" s="49" t="str" cm="1">
        <f t="array" ref="A57">IFERROR(INDEX(BAR!A:A,SMALL(IF((LEFT(BAR!A$2:A$1048576,3)="SRT")+(LEFT(BAR!A$2:A$1048576,3)="PAS")+(LEFT(BAR!A$2:A$1048576,3)="Jelly"),ROW(BAR!A$2:A$1048576)),ROW()-1)),"")</f>
        <v>SRTFD01020042</v>
      </c>
      <c r="B57" s="48">
        <f>IF(COUNTBLANK(A57),"",VLOOKUP(A57,BAR!A:I,9,FALSE))</f>
        <v>0</v>
      </c>
    </row>
    <row r="58" spans="1:2">
      <c r="A58" s="49" t="str" cm="1">
        <f t="array" ref="A58">IFERROR(INDEX(BAR!A:A,SMALL(IF((LEFT(BAR!A$2:A$1048576,3)="SRT")+(LEFT(BAR!A$2:A$1048576,3)="PAS")+(LEFT(BAR!A$2:A$1048576,3)="Jelly"),ROW(BAR!A$2:A$1048576)),ROW()-1)),"")</f>
        <v>SRTFD01020043</v>
      </c>
      <c r="B58" s="48">
        <f>IF(COUNTBLANK(A58),"",VLOOKUP(A58,BAR!A:I,9,FALSE))</f>
        <v>0</v>
      </c>
    </row>
    <row r="59" spans="1:2">
      <c r="A59" s="49" t="str" cm="1">
        <f t="array" ref="A59">IFERROR(INDEX(BAR!A:A,SMALL(IF((LEFT(BAR!A$2:A$1048576,3)="SRT")+(LEFT(BAR!A$2:A$1048576,3)="PAS")+(LEFT(BAR!A$2:A$1048576,3)="Jelly"),ROW(BAR!A$2:A$1048576)),ROW()-1)),"")</f>
        <v>SRTFD01030012</v>
      </c>
      <c r="B59" s="48">
        <f>IF(COUNTBLANK(A59),"",VLOOKUP(A59,BAR!A:I,9,FALSE))</f>
        <v>0</v>
      </c>
    </row>
    <row r="60" spans="1:2">
      <c r="A60" s="49" t="str" cm="1">
        <f t="array" ref="A60">IFERROR(INDEX(BAR!A:A,SMALL(IF((LEFT(BAR!A$2:A$1048576,3)="SRT")+(LEFT(BAR!A$2:A$1048576,3)="PAS")+(LEFT(BAR!A$2:A$1048576,3)="Jelly"),ROW(BAR!A$2:A$1048576)),ROW()-1)),"")</f>
        <v>SRTFD01070004</v>
      </c>
      <c r="B60" s="48">
        <f>IF(COUNTBLANK(A60),"",VLOOKUP(A60,BAR!A:I,9,FALSE))</f>
        <v>0</v>
      </c>
    </row>
    <row r="61" spans="1:2">
      <c r="A61" s="49" t="str" cm="1">
        <f t="array" ref="A61">IFERROR(INDEX(BAR!A:A,SMALL(IF((LEFT(BAR!A$2:A$1048576,3)="SRT")+(LEFT(BAR!A$2:A$1048576,3)="PAS")+(LEFT(BAR!A$2:A$1048576,3)="Jelly"),ROW(BAR!A$2:A$1048576)),ROW()-1)),"")</f>
        <v>SRTFD01070027</v>
      </c>
      <c r="B61" s="48">
        <f>IF(COUNTBLANK(A61),"",VLOOKUP(A61,BAR!A:I,9,FALSE))</f>
        <v>0</v>
      </c>
    </row>
    <row r="62" spans="1:2">
      <c r="A62" s="49" t="str" cm="1">
        <f t="array" ref="A62">IFERROR(INDEX(BAR!A:A,SMALL(IF((LEFT(BAR!A$2:A$1048576,3)="SRT")+(LEFT(BAR!A$2:A$1048576,3)="PAS")+(LEFT(BAR!A$2:A$1048576,3)="Jelly"),ROW(BAR!A$2:A$1048576)),ROW()-1)),"")</f>
        <v>SRTFD01070074</v>
      </c>
      <c r="B62" s="48">
        <f>IF(COUNTBLANK(A62),"",VLOOKUP(A62,BAR!A:I,9,FALSE))</f>
        <v>0</v>
      </c>
    </row>
    <row r="63" spans="1:2">
      <c r="A63" s="49" t="str" cm="1">
        <f t="array" ref="A63">IFERROR(INDEX(BAR!A:A,SMALL(IF((LEFT(BAR!A$2:A$1048576,3)="SRT")+(LEFT(BAR!A$2:A$1048576,3)="PAS")+(LEFT(BAR!A$2:A$1048576,3)="Jelly"),ROW(BAR!A$2:A$1048576)),ROW()-1)),"")</f>
        <v>SRTFD01070050</v>
      </c>
      <c r="B63" s="48">
        <f>IF(COUNTBLANK(A63),"",VLOOKUP(A63,BAR!A:I,9,FALSE))</f>
        <v>0</v>
      </c>
    </row>
    <row r="64" spans="1:2">
      <c r="A64" s="49" t="str" cm="1">
        <f t="array" ref="A64">IFERROR(INDEX(BAR!A:A,SMALL(IF((LEFT(BAR!A$2:A$1048576,3)="SRT")+(LEFT(BAR!A$2:A$1048576,3)="PAS")+(LEFT(BAR!A$2:A$1048576,3)="Jelly"),ROW(BAR!A$2:A$1048576)),ROW()-1)),"")</f>
        <v>SRTFD01070051</v>
      </c>
      <c r="B64" s="48">
        <f>IF(COUNTBLANK(A64),"",VLOOKUP(A64,BAR!A:I,9,FALSE))</f>
        <v>0</v>
      </c>
    </row>
    <row r="65" spans="1:2">
      <c r="A65" s="49" t="str" cm="1">
        <f t="array" ref="A65">IFERROR(INDEX(BAR!A:A,SMALL(IF((LEFT(BAR!A$2:A$1048576,3)="SRT")+(LEFT(BAR!A$2:A$1048576,3)="PAS")+(LEFT(BAR!A$2:A$1048576,3)="Jelly"),ROW(BAR!A$2:A$1048576)),ROW()-1)),"")</f>
        <v>SRTFD01070062</v>
      </c>
      <c r="B65" s="48">
        <f>IF(COUNTBLANK(A65),"",VLOOKUP(A65,BAR!A:I,9,FALSE))</f>
        <v>0</v>
      </c>
    </row>
    <row r="66" spans="1:2">
      <c r="A66" s="49" t="str" cm="1">
        <f t="array" ref="A66">IFERROR(INDEX(BAR!A:A,SMALL(IF((LEFT(BAR!A$2:A$1048576,3)="SRT")+(LEFT(BAR!A$2:A$1048576,3)="PAS")+(LEFT(BAR!A$2:A$1048576,3)="Jelly"),ROW(BAR!A$2:A$1048576)),ROW()-1)),"")</f>
        <v>SRTFD01070077</v>
      </c>
      <c r="B66" s="48">
        <f>IF(COUNTBLANK(A66),"",VLOOKUP(A66,BAR!A:I,9,FALSE))</f>
        <v>0</v>
      </c>
    </row>
    <row r="67" spans="1:2">
      <c r="A67" s="49" t="str" cm="1">
        <f t="array" ref="A67">IFERROR(INDEX(BAR!A:A,SMALL(IF((LEFT(BAR!A$2:A$1048576,3)="SRT")+(LEFT(BAR!A$2:A$1048576,3)="PAS")+(LEFT(BAR!A$2:A$1048576,3)="Jelly"),ROW(BAR!A$2:A$1048576)),ROW()-1)),"")</f>
        <v>SRTFD01070078</v>
      </c>
      <c r="B67" s="48">
        <f>IF(COUNTBLANK(A67),"",VLOOKUP(A67,BAR!A:I,9,FALSE))</f>
        <v>0</v>
      </c>
    </row>
    <row r="68" spans="1:2">
      <c r="A68" s="49" t="str" cm="1">
        <f t="array" ref="A68">IFERROR(INDEX(BAR!A:A,SMALL(IF((LEFT(BAR!A$2:A$1048576,3)="SRT")+(LEFT(BAR!A$2:A$1048576,3)="PAS")+(LEFT(BAR!A$2:A$1048576,3)="Jelly"),ROW(BAR!A$2:A$1048576)),ROW()-1)),"")</f>
        <v>SRTFD04070006</v>
      </c>
      <c r="B68" s="48">
        <f>IF(COUNTBLANK(A68),"",VLOOKUP(A68,BAR!A:I,9,FALSE))</f>
        <v>0</v>
      </c>
    </row>
    <row r="69" spans="1:2">
      <c r="A69" s="49" t="str" cm="1">
        <f t="array" ref="A69">IFERROR(INDEX(BAR!A:A,SMALL(IF((LEFT(BAR!A$2:A$1048576,3)="SRT")+(LEFT(BAR!A$2:A$1048576,3)="PAS")+(LEFT(BAR!A$2:A$1048576,3)="Jelly"),ROW(BAR!A$2:A$1048576)),ROW()-1)),"")</f>
        <v>SRTFD04080039</v>
      </c>
      <c r="B69" s="48">
        <f>IF(COUNTBLANK(A69),"",VLOOKUP(A69,BAR!A:I,9,FALSE))</f>
        <v>0</v>
      </c>
    </row>
    <row r="70" spans="1:2">
      <c r="A70" s="49" t="str" cm="1">
        <f t="array" ref="A70">IFERROR(INDEX(BAR!A:A,SMALL(IF((LEFT(BAR!A$2:A$1048576,3)="SRT")+(LEFT(BAR!A$2:A$1048576,3)="PAS")+(LEFT(BAR!A$2:A$1048576,3)="Jelly"),ROW(BAR!A$2:A$1048576)),ROW()-1)),"")</f>
        <v>SRTND04020279</v>
      </c>
      <c r="B70" s="48">
        <f>IF(COUNTBLANK(A70),"",VLOOKUP(A70,BAR!A:I,9,FALSE))</f>
        <v>0</v>
      </c>
    </row>
    <row r="71" spans="1:2">
      <c r="A71" s="49" t="str" cm="1">
        <f t="array" ref="A71">IFERROR(INDEX(BAR!A:A,SMALL(IF((LEFT(BAR!A$2:A$1048576,3)="SRT")+(LEFT(BAR!A$2:A$1048576,3)="PAS")+(LEFT(BAR!A$2:A$1048576,3)="Jelly"),ROW(BAR!A$2:A$1048576)),ROW()-1)),"")</f>
        <v>SRTND04020375</v>
      </c>
      <c r="B71" s="48">
        <f>IF(COUNTBLANK(A71),"",VLOOKUP(A71,BAR!A:I,9,FALSE))</f>
        <v>0</v>
      </c>
    </row>
    <row r="72" spans="1:2">
      <c r="A72" s="49" t="str" cm="1">
        <f t="array" ref="A72">IFERROR(INDEX(BAR!A:A,SMALL(IF((LEFT(BAR!A$2:A$1048576,3)="SRT")+(LEFT(BAR!A$2:A$1048576,3)="PAS")+(LEFT(BAR!A$2:A$1048576,3)="Jelly"),ROW(BAR!A$2:A$1048576)),ROW()-1)),"")</f>
        <v>SRTND04020348</v>
      </c>
      <c r="B72" s="48">
        <f>IF(COUNTBLANK(A72),"",VLOOKUP(A72,BAR!A:I,9,FALSE))</f>
        <v>0</v>
      </c>
    </row>
    <row r="73" spans="1:2">
      <c r="A73" s="49" t="str" cm="1">
        <f t="array" ref="A73">IFERROR(INDEX(BAR!A:A,SMALL(IF((LEFT(BAR!A$2:A$1048576,3)="SRT")+(LEFT(BAR!A$2:A$1048576,3)="PAS")+(LEFT(BAR!A$2:A$1048576,3)="Jelly"),ROW(BAR!A$2:A$1048576)),ROW()-1)),"")</f>
        <v>SRTND04020349</v>
      </c>
      <c r="B73" s="48">
        <f>IF(COUNTBLANK(A73),"",VLOOKUP(A73,BAR!A:I,9,FALSE))</f>
        <v>0</v>
      </c>
    </row>
    <row r="74" spans="1:2">
      <c r="A74" s="49" t="str" cm="1">
        <f t="array" ref="A74">IFERROR(INDEX(BAR!A:A,SMALL(IF((LEFT(BAR!A$2:A$1048576,3)="SRT")+(LEFT(BAR!A$2:A$1048576,3)="PAS")+(LEFT(BAR!A$2:A$1048576,3)="Jelly"),ROW(BAR!A$2:A$1048576)),ROW()-1)),"")</f>
        <v>SRTND04020350</v>
      </c>
      <c r="B74" s="48">
        <f>IF(COUNTBLANK(A74),"",VLOOKUP(A74,BAR!A:I,9,FALSE))</f>
        <v>0</v>
      </c>
    </row>
    <row r="75" spans="1:2">
      <c r="A75" s="49" t="str" cm="1">
        <f t="array" ref="A75">IFERROR(INDEX(BAR!A:A,SMALL(IF((LEFT(BAR!A$2:A$1048576,3)="SRT")+(LEFT(BAR!A$2:A$1048576,3)="PAS")+(LEFT(BAR!A$2:A$1048576,3)="Jelly"),ROW(BAR!A$2:A$1048576)),ROW()-1)),"")</f>
        <v>SRTND04020378</v>
      </c>
      <c r="B75" s="48">
        <f>IF(COUNTBLANK(A75),"",VLOOKUP(A75,BAR!A:I,9,FALSE))</f>
        <v>0</v>
      </c>
    </row>
    <row r="76" spans="1:2">
      <c r="A76" s="49" t="str" cm="1">
        <f t="array" ref="A76">IFERROR(INDEX(BAR!A:A,SMALL(IF((LEFT(BAR!A$2:A$1048576,3)="SRT")+(LEFT(BAR!A$2:A$1048576,3)="PAS")+(LEFT(BAR!A$2:A$1048576,3)="Jelly"),ROW(BAR!A$2:A$1048576)),ROW()-1)),"")</f>
        <v>SRTND04020002</v>
      </c>
      <c r="B76" s="48">
        <f>IF(COUNTBLANK(A76),"",VLOOKUP(A76,BAR!A:I,9,FALSE))</f>
        <v>0</v>
      </c>
    </row>
    <row r="77" spans="1:2">
      <c r="A77" s="49" t="str" cm="1">
        <f t="array" ref="A77">IFERROR(INDEX(BAR!A:A,SMALL(IF((LEFT(BAR!A$2:A$1048576,3)="SRT")+(LEFT(BAR!A$2:A$1048576,3)="PAS")+(LEFT(BAR!A$2:A$1048576,3)="Jelly"),ROW(BAR!A$2:A$1048576)),ROW()-1)),"")</f>
        <v>SRTND04020085</v>
      </c>
      <c r="B77" s="48">
        <f>IF(COUNTBLANK(A77),"",VLOOKUP(A77,BAR!A:I,9,FALSE))</f>
        <v>0</v>
      </c>
    </row>
    <row r="78" spans="1:2">
      <c r="A78" s="49" t="str" cm="1">
        <f t="array" ref="A78">IFERROR(INDEX(BAR!A:A,SMALL(IF((LEFT(BAR!A$2:A$1048576,3)="SRT")+(LEFT(BAR!A$2:A$1048576,3)="PAS")+(LEFT(BAR!A$2:A$1048576,3)="Jelly"),ROW(BAR!A$2:A$1048576)),ROW()-1)),"")</f>
        <v>SRTND04030276</v>
      </c>
      <c r="B78" s="48">
        <f>IF(COUNTBLANK(A78),"",VLOOKUP(A78,BAR!A:I,9,FALSE))</f>
        <v>0</v>
      </c>
    </row>
    <row r="79" spans="1:2">
      <c r="A79" s="49" t="str" cm="1">
        <f t="array" ref="A79">IFERROR(INDEX(BAR!A:A,SMALL(IF((LEFT(BAR!A$2:A$1048576,3)="SRT")+(LEFT(BAR!A$2:A$1048576,3)="PAS")+(LEFT(BAR!A$2:A$1048576,3)="Jelly"),ROW(BAR!A$2:A$1048576)),ROW()-1)),"")</f>
        <v>SRTND04030277</v>
      </c>
      <c r="B79" s="48">
        <f>IF(COUNTBLANK(A79),"",VLOOKUP(A79,BAR!A:I,9,FALSE))</f>
        <v>0</v>
      </c>
    </row>
    <row r="80" spans="1:2">
      <c r="A80" s="49" t="str" cm="1">
        <f t="array" ref="A80">IFERROR(INDEX(BAR!A:A,SMALL(IF((LEFT(BAR!A$2:A$1048576,3)="SRT")+(LEFT(BAR!A$2:A$1048576,3)="PAS")+(LEFT(BAR!A$2:A$1048576,3)="Jelly"),ROW(BAR!A$2:A$1048576)),ROW()-1)),"")</f>
        <v>SRTND04030278</v>
      </c>
      <c r="B80" s="48">
        <f>IF(COUNTBLANK(A80),"",VLOOKUP(A80,BAR!A:I,9,FALSE))</f>
        <v>0</v>
      </c>
    </row>
    <row r="81" spans="1:2">
      <c r="A81" s="49" t="str" cm="1">
        <f t="array" ref="A81">IFERROR(INDEX(BAR!A:A,SMALL(IF((LEFT(BAR!A$2:A$1048576,3)="SRT")+(LEFT(BAR!A$2:A$1048576,3)="PAS")+(LEFT(BAR!A$2:A$1048576,3)="Jelly"),ROW(BAR!A$2:A$1048576)),ROW()-1)),"")</f>
        <v>SRTND04030279</v>
      </c>
      <c r="B81" s="48">
        <f>IF(COUNTBLANK(A81),"",VLOOKUP(A81,BAR!A:I,9,FALSE))</f>
        <v>0</v>
      </c>
    </row>
    <row r="82" spans="1:2">
      <c r="A82" s="49" t="str" cm="1">
        <f t="array" ref="A82">IFERROR(INDEX(BAR!A:A,SMALL(IF((LEFT(BAR!A$2:A$1048576,3)="SRT")+(LEFT(BAR!A$2:A$1048576,3)="PAS")+(LEFT(BAR!A$2:A$1048576,3)="Jelly"),ROW(BAR!A$2:A$1048576)),ROW()-1)),"")</f>
        <v>SRTND04030236</v>
      </c>
      <c r="B82" s="48">
        <f>IF(COUNTBLANK(A82),"",VLOOKUP(A82,BAR!A:I,9,FALSE))</f>
        <v>0</v>
      </c>
    </row>
    <row r="83" spans="1:2">
      <c r="A83" s="49" t="str" cm="1">
        <f t="array" ref="A83">IFERROR(INDEX(BAR!A:A,SMALL(IF((LEFT(BAR!A$2:A$1048576,3)="SRT")+(LEFT(BAR!A$2:A$1048576,3)="PAS")+(LEFT(BAR!A$2:A$1048576,3)="Jelly"),ROW(BAR!A$2:A$1048576)),ROW()-1)),"")</f>
        <v>SRTND04030237</v>
      </c>
      <c r="B83" s="48">
        <f>IF(COUNTBLANK(A83),"",VLOOKUP(A83,BAR!A:I,9,FALSE))</f>
        <v>0</v>
      </c>
    </row>
    <row r="84" spans="1:2">
      <c r="A84" s="49" t="str" cm="1">
        <f t="array" ref="A84">IFERROR(INDEX(BAR!A:A,SMALL(IF((LEFT(BAR!A$2:A$1048576,3)="SRT")+(LEFT(BAR!A$2:A$1048576,3)="PAS")+(LEFT(BAR!A$2:A$1048576,3)="Jelly"),ROW(BAR!A$2:A$1048576)),ROW()-1)),"")</f>
        <v>SRTND04030238</v>
      </c>
      <c r="B84" s="48">
        <f>IF(COUNTBLANK(A84),"",VLOOKUP(A84,BAR!A:I,9,FALSE))</f>
        <v>0</v>
      </c>
    </row>
    <row r="85" spans="1:2">
      <c r="A85" s="49" t="str" cm="1">
        <f t="array" ref="A85">IFERROR(INDEX(BAR!A:A,SMALL(IF((LEFT(BAR!A$2:A$1048576,3)="SRT")+(LEFT(BAR!A$2:A$1048576,3)="PAS")+(LEFT(BAR!A$2:A$1048576,3)="Jelly"),ROW(BAR!A$2:A$1048576)),ROW()-1)),"")</f>
        <v>SRTFD04010032</v>
      </c>
      <c r="B85" s="48">
        <f>IF(COUNTBLANK(A85),"",VLOOKUP(A85,BAR!A:I,9,FALSE))</f>
        <v>0</v>
      </c>
    </row>
    <row r="86" spans="1:2">
      <c r="A86" s="49" t="str" cm="1">
        <f t="array" ref="A86">IFERROR(INDEX(BAR!A:A,SMALL(IF((LEFT(BAR!A$2:A$1048576,3)="SRT")+(LEFT(BAR!A$2:A$1048576,3)="PAS")+(LEFT(BAR!A$2:A$1048576,3)="Jelly"),ROW(BAR!A$2:A$1048576)),ROW()-1)),"")</f>
        <v>SRTFD04010031</v>
      </c>
      <c r="B86" s="48">
        <f>IF(COUNTBLANK(A86),"",VLOOKUP(A86,BAR!A:I,9,FALSE))</f>
        <v>0</v>
      </c>
    </row>
    <row r="87" spans="1:2">
      <c r="A87" s="49" t="str" cm="1">
        <f t="array" ref="A87">IFERROR(INDEX(BAR!A:A,SMALL(IF((LEFT(BAR!A$2:A$1048576,3)="SRT")+(LEFT(BAR!A$2:A$1048576,3)="PAS")+(LEFT(BAR!A$2:A$1048576,3)="Jelly"),ROW(BAR!A$2:A$1048576)),ROW()-1)),"")</f>
        <v>SRTFD09020006</v>
      </c>
      <c r="B87" s="48">
        <f>IF(COUNTBLANK(A87),"",VLOOKUP(A87,BAR!A:I,9,FALSE))</f>
        <v>0</v>
      </c>
    </row>
    <row r="88" spans="1:2">
      <c r="A88" s="49" t="str" cm="1">
        <f t="array" ref="A88">IFERROR(INDEX(BAR!A:A,SMALL(IF((LEFT(BAR!A$2:A$1048576,3)="SRT")+(LEFT(BAR!A$2:A$1048576,3)="PAS")+(LEFT(BAR!A$2:A$1048576,3)="Jelly"),ROW(BAR!A$2:A$1048576)),ROW()-1)),"")</f>
        <v>SRTFD09020007</v>
      </c>
      <c r="B88" s="48">
        <f>IF(COUNTBLANK(A88),"",VLOOKUP(A88,BAR!A:I,9,FALSE))</f>
        <v>0</v>
      </c>
    </row>
    <row r="89" spans="1:2">
      <c r="A89" s="49" t="str" cm="1">
        <f t="array" ref="A89">IFERROR(INDEX(BAR!A:A,SMALL(IF((LEFT(BAR!A$2:A$1048576,3)="SRT")+(LEFT(BAR!A$2:A$1048576,3)="PAS")+(LEFT(BAR!A$2:A$1048576,3)="Jelly"),ROW(BAR!A$2:A$1048576)),ROW()-1)),"")</f>
        <v>SRTFC04020055</v>
      </c>
      <c r="B89" s="48">
        <f>IF(COUNTBLANK(A89),"",VLOOKUP(A89,BAR!A:I,9,FALSE))</f>
        <v>0</v>
      </c>
    </row>
    <row r="90" spans="1:2">
      <c r="A90" s="49" t="str" cm="1">
        <f t="array" ref="A90">IFERROR(INDEX(BAR!A:A,SMALL(IF((LEFT(BAR!A$2:A$1048576,3)="SRT")+(LEFT(BAR!A$2:A$1048576,3)="PAS")+(LEFT(BAR!A$2:A$1048576,3)="Jelly"),ROW(BAR!A$2:A$1048576)),ROW()-1)),"")</f>
        <v>SRTFC04020059</v>
      </c>
      <c r="B90" s="48">
        <f>IF(COUNTBLANK(A90),"",VLOOKUP(A90,BAR!A:I,9,FALSE))</f>
        <v>0</v>
      </c>
    </row>
    <row r="91" spans="1:2">
      <c r="A91" s="49" t="str" cm="1">
        <f t="array" ref="A91">IFERROR(INDEX(BAR!A:A,SMALL(IF((LEFT(BAR!A$2:A$1048576,3)="SRT")+(LEFT(BAR!A$2:A$1048576,3)="PAS")+(LEFT(BAR!A$2:A$1048576,3)="Jelly"),ROW(BAR!A$2:A$1048576)),ROW()-1)),"")</f>
        <v>SRTFC04020060</v>
      </c>
      <c r="B91" s="48">
        <f>IF(COUNTBLANK(A91),"",VLOOKUP(A91,BAR!A:I,9,FALSE))</f>
        <v>0</v>
      </c>
    </row>
    <row r="92" spans="1:2">
      <c r="A92" s="49" t="str" cm="1">
        <f t="array" ref="A92">IFERROR(INDEX(BAR!A:A,SMALL(IF((LEFT(BAR!A$2:A$1048576,3)="SRT")+(LEFT(BAR!A$2:A$1048576,3)="PAS")+(LEFT(BAR!A$2:A$1048576,3)="Jelly"),ROW(BAR!A$2:A$1048576)),ROW()-1)),"")</f>
        <v>SRTFD08020038</v>
      </c>
      <c r="B92" s="48">
        <f>IF(COUNTBLANK(A92),"",VLOOKUP(A92,BAR!A:I,9,FALSE))</f>
        <v>0</v>
      </c>
    </row>
    <row r="93" spans="1:2">
      <c r="A93" s="49" t="str" cm="1">
        <f t="array" ref="A93">IFERROR(INDEX(BAR!A:A,SMALL(IF((LEFT(BAR!A$2:A$1048576,3)="SRT")+(LEFT(BAR!A$2:A$1048576,3)="PAS")+(LEFT(BAR!A$2:A$1048576,3)="Jelly"),ROW(BAR!A$2:A$1048576)),ROW()-1)),"")</f>
        <v>PASFD01010102</v>
      </c>
      <c r="B93" s="48">
        <f>IF(COUNTBLANK(A93),"",VLOOKUP(A93,BAR!A:I,9,FALSE))</f>
        <v>0</v>
      </c>
    </row>
    <row r="94" spans="1:2">
      <c r="A94" s="49" t="str" cm="1">
        <f t="array" ref="A94">IFERROR(INDEX(BAR!A:A,SMALL(IF((LEFT(BAR!A$2:A$1048576,3)="SRT")+(LEFT(BAR!A$2:A$1048576,3)="PAS")+(LEFT(BAR!A$2:A$1048576,3)="Jelly"),ROW(BAR!A$2:A$1048576)),ROW()-1)),"")</f>
        <v>PASFD01010076</v>
      </c>
      <c r="B94" s="48">
        <f>IF(COUNTBLANK(A94),"",VLOOKUP(A94,BAR!A:I,9,FALSE))</f>
        <v>0</v>
      </c>
    </row>
    <row r="95" spans="1:2">
      <c r="A95" s="49" t="str" cm="1">
        <f t="array" ref="A95">IFERROR(INDEX(BAR!A:A,SMALL(IF((LEFT(BAR!A$2:A$1048576,3)="SRT")+(LEFT(BAR!A$2:A$1048576,3)="PAS")+(LEFT(BAR!A$2:A$1048576,3)="Jelly"),ROW(BAR!A$2:A$1048576)),ROW()-1)),"")</f>
        <v>PASFD01010041</v>
      </c>
      <c r="B95" s="48">
        <f>IF(COUNTBLANK(A95),"",VLOOKUP(A95,BAR!A:I,9,FALSE))</f>
        <v>0</v>
      </c>
    </row>
    <row r="96" spans="1:2">
      <c r="A96" s="49" t="str" cm="1">
        <f t="array" ref="A96">IFERROR(INDEX(BAR!A:A,SMALL(IF((LEFT(BAR!A$2:A$1048576,3)="SRT")+(LEFT(BAR!A$2:A$1048576,3)="PAS")+(LEFT(BAR!A$2:A$1048576,3)="Jelly"),ROW(BAR!A$2:A$1048576)),ROW()-1)),"")</f>
        <v>SRTFD01040013</v>
      </c>
      <c r="B96" s="48">
        <f>IF(COUNTBLANK(A96),"",VLOOKUP(A96,BAR!A:I,9,FALSE))</f>
        <v>0</v>
      </c>
    </row>
    <row r="97" spans="1:2">
      <c r="A97" s="49" t="str" cm="1">
        <f t="array" ref="A97">IFERROR(INDEX(BAR!A:A,SMALL(IF((LEFT(BAR!A$2:A$1048576,3)="SRT")+(LEFT(BAR!A$2:A$1048576,3)="PAS")+(LEFT(BAR!A$2:A$1048576,3)="Jelly"),ROW(BAR!A$2:A$1048576)),ROW()-1)),"")</f>
        <v>SRTFD01040014</v>
      </c>
      <c r="B97" s="48">
        <f>IF(COUNTBLANK(A97),"",VLOOKUP(A97,BAR!A:I,9,FALSE))</f>
        <v>0</v>
      </c>
    </row>
    <row r="98" spans="1:2">
      <c r="A98" s="49" t="str" cm="1">
        <f t="array" ref="A98">IFERROR(INDEX(BAR!A:A,SMALL(IF((LEFT(BAR!A$2:A$1048576,3)="SRT")+(LEFT(BAR!A$2:A$1048576,3)="PAS")+(LEFT(BAR!A$2:A$1048576,3)="Jelly"),ROW(BAR!A$2:A$1048576)),ROW()-1)),"")</f>
        <v>SRTFD01040010</v>
      </c>
      <c r="B98" s="48">
        <f>IF(COUNTBLANK(A98),"",VLOOKUP(A98,BAR!A:I,9,FALSE))</f>
        <v>0</v>
      </c>
    </row>
    <row r="99" spans="1:2">
      <c r="A99" s="49" t="str" cm="1">
        <f t="array" ref="A99">IFERROR(INDEX(BAR!A:A,SMALL(IF((LEFT(BAR!A$2:A$1048576,3)="SRT")+(LEFT(BAR!A$2:A$1048576,3)="PAS")+(LEFT(BAR!A$2:A$1048576,3)="Jelly"),ROW(BAR!A$2:A$1048576)),ROW()-1)),"")</f>
        <v>SRTND07010472</v>
      </c>
      <c r="B99" s="48">
        <f>IF(COUNTBLANK(A99),"",VLOOKUP(A99,BAR!A:I,9,FALSE))</f>
        <v>0</v>
      </c>
    </row>
    <row r="100" spans="1:2">
      <c r="A100" s="49" t="str" cm="1">
        <f t="array" ref="A100">IFERROR(INDEX(BAR!A:A,SMALL(IF((LEFT(BAR!A$2:A$1048576,3)="SRT")+(LEFT(BAR!A$2:A$1048576,3)="PAS")+(LEFT(BAR!A$2:A$1048576,3)="Jelly"),ROW(BAR!A$2:A$1048576)),ROW()-1)),"")</f>
        <v>SRTND07010382</v>
      </c>
      <c r="B100" s="48">
        <f>IF(COUNTBLANK(A100),"",VLOOKUP(A100,BAR!A:I,9,FALSE))</f>
        <v>0</v>
      </c>
    </row>
    <row r="101" spans="1:2">
      <c r="A101" s="49" t="str" cm="1">
        <f t="array" ref="A101">IFERROR(INDEX(BAR!A:A,SMALL(IF((LEFT(BAR!A$2:A$1048576,3)="SRT")+(LEFT(BAR!A$2:A$1048576,3)="PAS")+(LEFT(BAR!A$2:A$1048576,3)="Jelly"),ROW(BAR!A$2:A$1048576)),ROW()-1)),"")</f>
        <v>SRTND07010396</v>
      </c>
      <c r="B101" s="48">
        <f>IF(COUNTBLANK(A101),"",VLOOKUP(A101,BAR!A:I,9,FALSE))</f>
        <v>0</v>
      </c>
    </row>
    <row r="102" spans="1:2">
      <c r="A102" s="49" t="str" cm="1">
        <f t="array" ref="A102">IFERROR(INDEX(BAR!A:A,SMALL(IF((LEFT(BAR!A$2:A$1048576,3)="SRT")+(LEFT(BAR!A$2:A$1048576,3)="PAS")+(LEFT(BAR!A$2:A$1048576,3)="Jelly"),ROW(BAR!A$2:A$1048576)),ROW()-1)),"")</f>
        <v>SRTND07010416</v>
      </c>
      <c r="B102" s="48">
        <f>IF(COUNTBLANK(A102),"",VLOOKUP(A102,BAR!A:I,9,FALSE))</f>
        <v>0</v>
      </c>
    </row>
    <row r="103" spans="1:2">
      <c r="A103" s="49" t="str" cm="1">
        <f t="array" ref="A103">IFERROR(INDEX(BAR!A:A,SMALL(IF((LEFT(BAR!A$2:A$1048576,3)="SRT")+(LEFT(BAR!A$2:A$1048576,3)="PAS")+(LEFT(BAR!A$2:A$1048576,3)="Jelly"),ROW(BAR!A$2:A$1048576)),ROW()-1)),"")</f>
        <v>SRTND07010401</v>
      </c>
      <c r="B103" s="48">
        <f>IF(COUNTBLANK(A103),"",VLOOKUP(A103,BAR!A:I,9,FALSE))</f>
        <v>0</v>
      </c>
    </row>
    <row r="104" spans="1:2">
      <c r="A104" s="49" t="str" cm="1">
        <f t="array" ref="A104">IFERROR(INDEX(BAR!A:A,SMALL(IF((LEFT(BAR!A$2:A$1048576,3)="SRT")+(LEFT(BAR!A$2:A$1048576,3)="PAS")+(LEFT(BAR!A$2:A$1048576,3)="Jelly"),ROW(BAR!A$2:A$1048576)),ROW()-1)),"")</f>
        <v>SRTND07010427</v>
      </c>
      <c r="B104" s="48">
        <f>IF(COUNTBLANK(A104),"",VLOOKUP(A104,BAR!A:I,9,FALSE))</f>
        <v>0</v>
      </c>
    </row>
    <row r="105" spans="1:2">
      <c r="A105" s="49" t="str" cm="1">
        <f t="array" ref="A105">IFERROR(INDEX(BAR!A:A,SMALL(IF((LEFT(BAR!A$2:A$1048576,3)="SRT")+(LEFT(BAR!A$2:A$1048576,3)="PAS")+(LEFT(BAR!A$2:A$1048576,3)="Jelly"),ROW(BAR!A$2:A$1048576)),ROW()-1)),"")</f>
        <v>SRTND07010445</v>
      </c>
      <c r="B105" s="48">
        <f>IF(COUNTBLANK(A105),"",VLOOKUP(A105,BAR!A:I,9,FALSE))</f>
        <v>0</v>
      </c>
    </row>
    <row r="106" spans="1:2">
      <c r="A106" s="49" t="str" cm="1">
        <f t="array" ref="A106">IFERROR(INDEX(BAR!A:A,SMALL(IF((LEFT(BAR!A$2:A$1048576,3)="SRT")+(LEFT(BAR!A$2:A$1048576,3)="PAS")+(LEFT(BAR!A$2:A$1048576,3)="Jelly"),ROW(BAR!A$2:A$1048576)),ROW()-1)),"")</f>
        <v>SRTND07010420</v>
      </c>
      <c r="B106" s="48">
        <f>IF(COUNTBLANK(A106),"",VLOOKUP(A106,BAR!A:I,9,FALSE))</f>
        <v>0</v>
      </c>
    </row>
    <row r="107" spans="1:2">
      <c r="A107" s="49" t="str" cm="1">
        <f t="array" ref="A107">IFERROR(INDEX(BAR!A:A,SMALL(IF((LEFT(BAR!A$2:A$1048576,3)="SRT")+(LEFT(BAR!A$2:A$1048576,3)="PAS")+(LEFT(BAR!A$2:A$1048576,3)="Jelly"),ROW(BAR!A$2:A$1048576)),ROW()-1)),"")</f>
        <v>SRTND07010430</v>
      </c>
      <c r="B107" s="48">
        <f>IF(COUNTBLANK(A107),"",VLOOKUP(A107,BAR!A:I,9,FALSE))</f>
        <v>0</v>
      </c>
    </row>
    <row r="108" spans="1:2">
      <c r="A108" s="49" t="str" cm="1">
        <f t="array" ref="A108">IFERROR(INDEX(BAR!A:A,SMALL(IF((LEFT(BAR!A$2:A$1048576,3)="SRT")+(LEFT(BAR!A$2:A$1048576,3)="PAS")+(LEFT(BAR!A$2:A$1048576,3)="Jelly"),ROW(BAR!A$2:A$1048576)),ROW()-1)),"")</f>
        <v>SRTND07010480</v>
      </c>
      <c r="B108" s="48">
        <f>IF(COUNTBLANK(A108),"",VLOOKUP(A108,BAR!A:I,9,FALSE))</f>
        <v>0</v>
      </c>
    </row>
    <row r="109" spans="1:2">
      <c r="A109" s="49" t="str" cm="1">
        <f t="array" ref="A109">IFERROR(INDEX(BAR!A:A,SMALL(IF((LEFT(BAR!A$2:A$1048576,3)="SRT")+(LEFT(BAR!A$2:A$1048576,3)="PAS")+(LEFT(BAR!A$2:A$1048576,3)="Jelly"),ROW(BAR!A$2:A$1048576)),ROW()-1)),"")</f>
        <v>SRTFD04020001</v>
      </c>
      <c r="B109" s="48">
        <f>IF(COUNTBLANK(A109),"",VLOOKUP(A109,BAR!A:I,9,FALSE))</f>
        <v>0</v>
      </c>
    </row>
    <row r="110" spans="1:2">
      <c r="A110" s="49" t="str" cm="1">
        <f t="array" ref="A110">IFERROR(INDEX(BAR!A:A,SMALL(IF((LEFT(BAR!A$2:A$1048576,3)="SRT")+(LEFT(BAR!A$2:A$1048576,3)="PAS")+(LEFT(BAR!A$2:A$1048576,3)="Jelly"),ROW(BAR!A$2:A$1048576)),ROW()-1)),"")</f>
        <v>SRTFD09010003</v>
      </c>
      <c r="B110" s="48">
        <f>IF(COUNTBLANK(A110),"",VLOOKUP(A110,BAR!A:I,9,FALSE))</f>
        <v>0</v>
      </c>
    </row>
    <row r="111" spans="1:2">
      <c r="A111" s="49" t="str" cm="1">
        <f t="array" ref="A111">IFERROR(INDEX(BAR!A:A,SMALL(IF((LEFT(BAR!A$2:A$1048576,3)="SRT")+(LEFT(BAR!A$2:A$1048576,3)="PAS")+(LEFT(BAR!A$2:A$1048576,3)="Jelly"),ROW(BAR!A$2:A$1048576)),ROW()-1)),"")</f>
        <v>SRTFD09010013</v>
      </c>
      <c r="B111" s="48">
        <f>IF(COUNTBLANK(A111),"",VLOOKUP(A111,BAR!A:I,9,FALSE))</f>
        <v>0</v>
      </c>
    </row>
    <row r="112" spans="1:2">
      <c r="A112" s="49" t="str" cm="1">
        <f t="array" ref="A112">IFERROR(INDEX(BAR!A:A,SMALL(IF((LEFT(BAR!A$2:A$1048576,3)="SRT")+(LEFT(BAR!A$2:A$1048576,3)="PAS")+(LEFT(BAR!A$2:A$1048576,3)="Jelly"),ROW(BAR!A$2:A$1048576)),ROW()-1)),"")</f>
        <v>SRTFD01070075</v>
      </c>
      <c r="B112" s="48">
        <f>IF(COUNTBLANK(A112),"",VLOOKUP(A112,BAR!A:I,9,FALSE))</f>
        <v>0</v>
      </c>
    </row>
    <row r="113" spans="1:2">
      <c r="A113" s="49" t="str" cm="1">
        <f t="array" ref="A113">IFERROR(INDEX(BAR!A:A,SMALL(IF((LEFT(BAR!A$2:A$1048576,3)="SRT")+(LEFT(BAR!A$2:A$1048576,3)="PAS")+(LEFT(BAR!A$2:A$1048576,3)="Jelly"),ROW(BAR!A$2:A$1048576)),ROW()-1)),"")</f>
        <v>SRTFD09010014</v>
      </c>
      <c r="B113" s="48">
        <f>IF(COUNTBLANK(A113),"",VLOOKUP(A113,BAR!A:I,9,FALSE))</f>
        <v>0</v>
      </c>
    </row>
    <row r="114" spans="1:2">
      <c r="A114" s="49" t="str" cm="1">
        <f t="array" ref="A114">IFERROR(INDEX(BAR!A:A,SMALL(IF((LEFT(BAR!A$2:A$1048576,3)="SRT")+(LEFT(BAR!A$2:A$1048576,3)="PAS")+(LEFT(BAR!A$2:A$1048576,3)="Jelly"),ROW(BAR!A$2:A$1048576)),ROW()-1)),"")</f>
        <v>SRTFD05050041</v>
      </c>
      <c r="B114" s="48">
        <f>IF(COUNTBLANK(A114),"",VLOOKUP(A114,BAR!A:I,9,FALSE))</f>
        <v>0</v>
      </c>
    </row>
    <row r="115" spans="1:2">
      <c r="A115" s="49" t="str" cm="1">
        <f t="array" ref="A115">IFERROR(INDEX(BAR!A:A,SMALL(IF((LEFT(BAR!A$2:A$1048576,3)="SRT")+(LEFT(BAR!A$2:A$1048576,3)="PAS")+(LEFT(BAR!A$2:A$1048576,3)="Jelly"),ROW(BAR!A$2:A$1048576)),ROW()-1)),"")</f>
        <v>SRTFF01060001</v>
      </c>
      <c r="B115" s="48">
        <f>IF(COUNTBLANK(A115),"",VLOOKUP(A115,BAR!A:I,9,FALSE))</f>
        <v>0</v>
      </c>
    </row>
    <row r="116" spans="1:2">
      <c r="A116" s="49" t="str" cm="1">
        <f t="array" ref="A116">IFERROR(INDEX(BAR!A:A,SMALL(IF((LEFT(BAR!A$2:A$1048576,3)="SRT")+(LEFT(BAR!A$2:A$1048576,3)="PAS")+(LEFT(BAR!A$2:A$1048576,3)="Jelly"),ROW(BAR!A$2:A$1048576)),ROW()-1)),"")</f>
        <v>SRTFD03030063</v>
      </c>
      <c r="B116" s="48">
        <f>IF(COUNTBLANK(A116),"",VLOOKUP(A116,BAR!A:I,9,FALSE))</f>
        <v>0</v>
      </c>
    </row>
    <row r="117" spans="1:2">
      <c r="A117" s="49" t="str" cm="1">
        <f t="array" ref="A117">IFERROR(INDEX(BAR!A:A,SMALL(IF((LEFT(BAR!A$2:A$1048576,3)="SRT")+(LEFT(BAR!A$2:A$1048576,3)="PAS")+(LEFT(BAR!A$2:A$1048576,3)="Jelly"),ROW(BAR!A$2:A$1048576)),ROW()-1)),"")</f>
        <v>SRTFD03010015</v>
      </c>
      <c r="B117" s="48">
        <f>IF(COUNTBLANK(A117),"",VLOOKUP(A117,BAR!A:I,9,FALSE))</f>
        <v>0</v>
      </c>
    </row>
    <row r="118" spans="1:2">
      <c r="A118" s="49" t="str" cm="1">
        <f t="array" ref="A118">IFERROR(INDEX(BAR!A:A,SMALL(IF((LEFT(BAR!A$2:A$1048576,3)="SRT")+(LEFT(BAR!A$2:A$1048576,3)="PAS")+(LEFT(BAR!A$2:A$1048576,3)="Jelly"),ROW(BAR!A$2:A$1048576)),ROW()-1)),"")</f>
        <v>SRTFD03010053</v>
      </c>
      <c r="B118" s="48">
        <f>IF(COUNTBLANK(A118),"",VLOOKUP(A118,BAR!A:I,9,FALSE))</f>
        <v>0</v>
      </c>
    </row>
    <row r="119" spans="1:2">
      <c r="A119" s="49" t="str" cm="1">
        <f t="array" ref="A119">IFERROR(INDEX(BAR!A:A,SMALL(IF((LEFT(BAR!A$2:A$1048576,3)="SRT")+(LEFT(BAR!A$2:A$1048576,3)="PAS")+(LEFT(BAR!A$2:A$1048576,3)="Jelly"),ROW(BAR!A$2:A$1048576)),ROW()-1)),"")</f>
        <v>SRTND04030040</v>
      </c>
      <c r="B119" s="48">
        <f>IF(COUNTBLANK(A119),"",VLOOKUP(A119,BAR!A:I,9,FALSE))</f>
        <v>0</v>
      </c>
    </row>
    <row r="120" spans="1:2">
      <c r="A120" s="49" t="str" cm="1">
        <f t="array" ref="A120">IFERROR(INDEX(BAR!A:A,SMALL(IF((LEFT(BAR!A$2:A$1048576,3)="SRT")+(LEFT(BAR!A$2:A$1048576,3)="PAS")+(LEFT(BAR!A$2:A$1048576,3)="Jelly"),ROW(BAR!A$2:A$1048576)),ROW()-1)),"")</f>
        <v>SRTND04030268</v>
      </c>
      <c r="B120" s="48">
        <f>IF(COUNTBLANK(A120),"",VLOOKUP(A120,BAR!A:I,9,FALSE))</f>
        <v>0</v>
      </c>
    </row>
    <row r="121" spans="1:2">
      <c r="A121" s="49" t="str" cm="1">
        <f t="array" ref="A121">IFERROR(INDEX(BAR!A:A,SMALL(IF((LEFT(BAR!A$2:A$1048576,3)="SRT")+(LEFT(BAR!A$2:A$1048576,3)="PAS")+(LEFT(BAR!A$2:A$1048576,3)="Jelly"),ROW(BAR!A$2:A$1048576)),ROW()-1)),"")</f>
        <v>SRTND04030090</v>
      </c>
      <c r="B121" s="48">
        <f>IF(COUNTBLANK(A121),"",VLOOKUP(A121,BAR!A:I,9,FALSE))</f>
        <v>0</v>
      </c>
    </row>
    <row r="122" spans="1:2">
      <c r="A122" s="49" t="str" cm="1">
        <f t="array" ref="A122">IFERROR(INDEX(BAR!A:A,SMALL(IF((LEFT(BAR!A$2:A$1048576,3)="SRT")+(LEFT(BAR!A$2:A$1048576,3)="PAS")+(LEFT(BAR!A$2:A$1048576,3)="Jelly"),ROW(BAR!A$2:A$1048576)),ROW()-1)),"")</f>
        <v>SRTND04030092</v>
      </c>
      <c r="B122" s="48">
        <f>IF(COUNTBLANK(A122),"",VLOOKUP(A122,BAR!A:I,9,FALSE))</f>
        <v>0</v>
      </c>
    </row>
    <row r="123" spans="1:2">
      <c r="A123" s="49" t="str" cm="1">
        <f t="array" ref="A123">IFERROR(INDEX(BAR!A:A,SMALL(IF((LEFT(BAR!A$2:A$1048576,3)="SRT")+(LEFT(BAR!A$2:A$1048576,3)="PAS")+(LEFT(BAR!A$2:A$1048576,3)="Jelly"),ROW(BAR!A$2:A$1048576)),ROW()-1)),"")</f>
        <v>SRTND04030227</v>
      </c>
      <c r="B123" s="48">
        <f>IF(COUNTBLANK(A123),"",VLOOKUP(A123,BAR!A:I,9,FALSE))</f>
        <v>0</v>
      </c>
    </row>
    <row r="124" spans="1:2">
      <c r="A124" s="49" t="str" cm="1">
        <f t="array" ref="A124">IFERROR(INDEX(BAR!A:A,SMALL(IF((LEFT(BAR!A$2:A$1048576,3)="SRT")+(LEFT(BAR!A$2:A$1048576,3)="PAS")+(LEFT(BAR!A$2:A$1048576,3)="Jelly"),ROW(BAR!A$2:A$1048576)),ROW()-1)),"")</f>
        <v>SRTND04050004</v>
      </c>
      <c r="B124" s="48">
        <f>IF(COUNTBLANK(A124),"",VLOOKUP(A124,BAR!A:I,9,FALSE))</f>
        <v>0</v>
      </c>
    </row>
    <row r="125" spans="1:2">
      <c r="A125" s="49" t="str" cm="1">
        <f t="array" ref="A125">IFERROR(INDEX(BAR!A:A,SMALL(IF((LEFT(BAR!A$2:A$1048576,3)="SRT")+(LEFT(BAR!A$2:A$1048576,3)="PAS")+(LEFT(BAR!A$2:A$1048576,3)="Jelly"),ROW(BAR!A$2:A$1048576)),ROW()-1)),"")</f>
        <v>SRTND04020373</v>
      </c>
      <c r="B125" s="48">
        <f>IF(COUNTBLANK(A125),"",VLOOKUP(A125,BAR!A:I,9,FALSE))</f>
        <v>0</v>
      </c>
    </row>
    <row r="126" spans="1:2">
      <c r="A126" s="49" t="str" cm="1">
        <f t="array" ref="A126">IFERROR(INDEX(BAR!A:A,SMALL(IF((LEFT(BAR!A$2:A$1048576,3)="SRT")+(LEFT(BAR!A$2:A$1048576,3)="PAS")+(LEFT(BAR!A$2:A$1048576,3)="Jelly"),ROW(BAR!A$2:A$1048576)),ROW()-1)),"")</f>
        <v>SRTND04020020</v>
      </c>
      <c r="B126" s="48">
        <f>IF(COUNTBLANK(A126),"",VLOOKUP(A126,BAR!A:I,9,FALSE))</f>
        <v>0</v>
      </c>
    </row>
    <row r="127" spans="1:2">
      <c r="A127" s="49" t="str" cm="1">
        <f t="array" ref="A127">IFERROR(INDEX(BAR!A:A,SMALL(IF((LEFT(BAR!A$2:A$1048576,3)="SRT")+(LEFT(BAR!A$2:A$1048576,3)="PAS")+(LEFT(BAR!A$2:A$1048576,3)="Jelly"),ROW(BAR!A$2:A$1048576)),ROW()-1)),"")</f>
        <v>SRTND04030262</v>
      </c>
      <c r="B127" s="48">
        <f>IF(COUNTBLANK(A127),"",VLOOKUP(A127,BAR!A:I,9,FALSE))</f>
        <v>0</v>
      </c>
    </row>
    <row r="128" spans="1:2">
      <c r="A128" s="49" t="str" cm="1">
        <f t="array" ref="A128">IFERROR(INDEX(BAR!A:A,SMALL(IF((LEFT(BAR!A$2:A$1048576,3)="SRT")+(LEFT(BAR!A$2:A$1048576,3)="PAS")+(LEFT(BAR!A$2:A$1048576,3)="Jelly"),ROW(BAR!A$2:A$1048576)),ROW()-1)),"")</f>
        <v>SRTND07020039</v>
      </c>
      <c r="B128" s="48">
        <f>IF(COUNTBLANK(A128),"",VLOOKUP(A128,BAR!A:I,9,FALSE))</f>
        <v>0</v>
      </c>
    </row>
    <row r="129" spans="1:2">
      <c r="A129" s="49" t="str" cm="1">
        <f t="array" ref="A129">IFERROR(INDEX(BAR!A:A,SMALL(IF((LEFT(BAR!A$2:A$1048576,3)="SRT")+(LEFT(BAR!A$2:A$1048576,3)="PAS")+(LEFT(BAR!A$2:A$1048576,3)="Jelly"),ROW(BAR!A$2:A$1048576)),ROW()-1)),"")</f>
        <v>SRTND04020307</v>
      </c>
      <c r="B129" s="48">
        <f>IF(COUNTBLANK(A129),"",VLOOKUP(A129,BAR!A:I,9,FALSE))</f>
        <v>0</v>
      </c>
    </row>
    <row r="130" spans="1:2">
      <c r="A130" s="49" t="str" cm="1">
        <f t="array" ref="A130">IFERROR(INDEX(BAR!A:A,SMALL(IF((LEFT(BAR!A$2:A$1048576,3)="SRT")+(LEFT(BAR!A$2:A$1048576,3)="PAS")+(LEFT(BAR!A$2:A$1048576,3)="Jelly"),ROW(BAR!A$2:A$1048576)),ROW()-1)),"")</f>
        <v>SRTND04020308</v>
      </c>
      <c r="B130" s="48">
        <f>IF(COUNTBLANK(A130),"",VLOOKUP(A130,BAR!A:I,9,FALSE))</f>
        <v>0</v>
      </c>
    </row>
    <row r="131" spans="1:2">
      <c r="A131" s="49" t="str" cm="1">
        <f t="array" ref="A131">IFERROR(INDEX(BAR!A:A,SMALL(IF((LEFT(BAR!A$2:A$1048576,3)="SRT")+(LEFT(BAR!A$2:A$1048576,3)="PAS")+(LEFT(BAR!A$2:A$1048576,3)="Jelly"),ROW(BAR!A$2:A$1048576)),ROW()-1)),"")</f>
        <v>SRTFD05010047</v>
      </c>
      <c r="B131" s="48">
        <f>IF(COUNTBLANK(A131),"",VLOOKUP(A131,BAR!A:I,9,FALSE))</f>
        <v>0</v>
      </c>
    </row>
    <row r="132" spans="1:2">
      <c r="A132" s="49" t="str" cm="1">
        <f t="array" ref="A132">IFERROR(INDEX(BAR!A:A,SMALL(IF((LEFT(BAR!A$2:A$1048576,3)="SRT")+(LEFT(BAR!A$2:A$1048576,3)="PAS")+(LEFT(BAR!A$2:A$1048576,3)="Jelly"),ROW(BAR!A$2:A$1048576)),ROW()-1)),"")</f>
        <v>SRTND04050030</v>
      </c>
      <c r="B132" s="48">
        <f>IF(COUNTBLANK(A132),"",VLOOKUP(A132,BAR!A:I,9,FALSE))</f>
        <v>0</v>
      </c>
    </row>
    <row r="133" spans="1:2">
      <c r="A133" s="49" t="str" cm="1">
        <f t="array" ref="A133">IFERROR(INDEX(BAR!A:A,SMALL(IF((LEFT(BAR!A$2:A$1048576,3)="SRT")+(LEFT(BAR!A$2:A$1048576,3)="PAS")+(LEFT(BAR!A$2:A$1048576,3)="Jelly"),ROW(BAR!A$2:A$1048576)),ROW()-1)),"")</f>
        <v>SRTND04030229</v>
      </c>
      <c r="B133" s="48">
        <f>IF(COUNTBLANK(A133),"",VLOOKUP(A133,BAR!A:I,9,FALSE))</f>
        <v>0</v>
      </c>
    </row>
    <row r="134" spans="1:2">
      <c r="A134" s="49" t="str" cm="1">
        <f t="array" ref="A134">IFERROR(INDEX(BAR!A:A,SMALL(IF((LEFT(BAR!A$2:A$1048576,3)="SRT")+(LEFT(BAR!A$2:A$1048576,3)="PAS")+(LEFT(BAR!A$2:A$1048576,3)="Jelly"),ROW(BAR!A$2:A$1048576)),ROW()-1)),"")</f>
        <v>SRTND04050032</v>
      </c>
      <c r="B134" s="48">
        <f>IF(COUNTBLANK(A134),"",VLOOKUP(A134,BAR!A:I,9,FALSE))</f>
        <v>0</v>
      </c>
    </row>
    <row r="135" spans="1:2">
      <c r="A135" s="49" t="str" cm="1">
        <f t="array" ref="A135">IFERROR(INDEX(BAR!A:A,SMALL(IF((LEFT(BAR!A$2:A$1048576,3)="SRT")+(LEFT(BAR!A$2:A$1048576,3)="PAS")+(LEFT(BAR!A$2:A$1048576,3)="Jelly"),ROW(BAR!A$2:A$1048576)),ROW()-1)),"")</f>
        <v>SRTND04020352</v>
      </c>
      <c r="B135" s="48">
        <f>IF(COUNTBLANK(A135),"",VLOOKUP(A135,BAR!A:I,9,FALSE))</f>
        <v>0</v>
      </c>
    </row>
    <row r="136" spans="1:2">
      <c r="A136" s="49" t="str" cm="1">
        <f t="array" ref="A136">IFERROR(INDEX(BAR!A:A,SMALL(IF((LEFT(BAR!A$2:A$1048576,3)="SRT")+(LEFT(BAR!A$2:A$1048576,3)="PAS")+(LEFT(BAR!A$2:A$1048576,3)="Jelly"),ROW(BAR!A$2:A$1048576)),ROW()-1)),"")</f>
        <v>SRTND04020361</v>
      </c>
      <c r="B136" s="48">
        <f>IF(COUNTBLANK(A136),"",VLOOKUP(A136,BAR!A:I,9,FALSE))</f>
        <v>0</v>
      </c>
    </row>
    <row r="137" spans="1:2">
      <c r="A137" s="49" t="str" cm="1">
        <f t="array" ref="A137">IFERROR(INDEX(BAR!A:A,SMALL(IF((LEFT(BAR!A$2:A$1048576,3)="SRT")+(LEFT(BAR!A$2:A$1048576,3)="PAS")+(LEFT(BAR!A$2:A$1048576,3)="Jelly"),ROW(BAR!A$2:A$1048576)),ROW()-1)),"")</f>
        <v>SRTND04020234</v>
      </c>
      <c r="B137" s="48">
        <f>IF(COUNTBLANK(A137),"",VLOOKUP(A137,BAR!A:I,9,FALSE))</f>
        <v>0</v>
      </c>
    </row>
    <row r="138" spans="1:2">
      <c r="A138" s="49" t="str" cm="1">
        <f t="array" ref="A138">IFERROR(INDEX(BAR!A:A,SMALL(IF((LEFT(BAR!A$2:A$1048576,3)="SRT")+(LEFT(BAR!A$2:A$1048576,3)="PAS")+(LEFT(BAR!A$2:A$1048576,3)="Jelly"),ROW(BAR!A$2:A$1048576)),ROW()-1)),"")</f>
        <v>SRTND06020057</v>
      </c>
      <c r="B138" s="48">
        <f>IF(COUNTBLANK(A138),"",VLOOKUP(A138,BAR!A:I,9,FALSE))</f>
        <v>0</v>
      </c>
    </row>
    <row r="139" spans="1:2">
      <c r="A139" s="49" t="str" cm="1">
        <f t="array" ref="A139">IFERROR(INDEX(BAR!A:A,SMALL(IF((LEFT(BAR!A$2:A$1048576,3)="SRT")+(LEFT(BAR!A$2:A$1048576,3)="PAS")+(LEFT(BAR!A$2:A$1048576,3)="Jelly"),ROW(BAR!A$2:A$1048576)),ROW()-1)),"")</f>
        <v/>
      </c>
      <c r="B139" s="48" t="str">
        <f>IF(COUNTBLANK(A139),"",VLOOKUP(A139,BAR!A:I,9,FALSE))</f>
        <v/>
      </c>
    </row>
    <row r="140" spans="1:2">
      <c r="A140" s="49" t="str" cm="1">
        <f t="array" ref="A140">IFERROR(INDEX(BAR!A:A,SMALL(IF((LEFT(BAR!A$2:A$1048576,3)="SRT")+(LEFT(BAR!A$2:A$1048576,3)="PAS")+(LEFT(BAR!A$2:A$1048576,3)="Jelly"),ROW(BAR!A$2:A$1048576)),ROW()-1)),"")</f>
        <v/>
      </c>
      <c r="B140" s="48" t="str">
        <f>IF(COUNTBLANK(A140),"",VLOOKUP(A140,BAR!A:I,9,FALSE))</f>
        <v/>
      </c>
    </row>
    <row r="141" spans="1:2">
      <c r="A141" s="49" t="str" cm="1">
        <f t="array" ref="A141">IFERROR(INDEX(BAR!A:A,SMALL(IF((LEFT(BAR!A$2:A$1048576,3)="SRT")+(LEFT(BAR!A$2:A$1048576,3)="PAS")+(LEFT(BAR!A$2:A$1048576,3)="Jelly"),ROW(BAR!A$2:A$1048576)),ROW()-1)),"")</f>
        <v/>
      </c>
      <c r="B141" s="48" t="str">
        <f>IF(COUNTBLANK(A141),"",VLOOKUP(A141,BAR!A:I,9,FALSE))</f>
        <v/>
      </c>
    </row>
    <row r="142" spans="1:2">
      <c r="A142" s="49" t="str" cm="1">
        <f t="array" ref="A142">IFERROR(INDEX(BAR!A:A,SMALL(IF((LEFT(BAR!A$2:A$1048576,3)="SRT")+(LEFT(BAR!A$2:A$1048576,3)="PAS")+(LEFT(BAR!A$2:A$1048576,3)="Jelly"),ROW(BAR!A$2:A$1048576)),ROW()-1)),"")</f>
        <v/>
      </c>
      <c r="B142" s="48" t="str">
        <f>IF(COUNTBLANK(A142),"",VLOOKUP(A142,BAR!A:I,9,FALSE))</f>
        <v/>
      </c>
    </row>
    <row r="143" spans="1:2">
      <c r="A143" s="49" t="str" cm="1">
        <f t="array" ref="A143">IFERROR(INDEX(BAR!A:A,SMALL(IF((LEFT(BAR!A$2:A$1048576,3)="SRT")+(LEFT(BAR!A$2:A$1048576,3)="PAS")+(LEFT(BAR!A$2:A$1048576,3)="Jelly"),ROW(BAR!A$2:A$1048576)),ROW()-1)),"")</f>
        <v/>
      </c>
      <c r="B143" s="48" t="str">
        <f>IF(COUNTBLANK(A143),"",VLOOKUP(A143,BAR!A:I,9,FALSE))</f>
        <v/>
      </c>
    </row>
    <row r="144" spans="1:2">
      <c r="A144" s="49" t="str" cm="1">
        <f t="array" ref="A144">IFERROR(INDEX(BAR!A:A,SMALL(IF((LEFT(BAR!A$2:A$1048576,3)="SRT")+(LEFT(BAR!A$2:A$1048576,3)="PAS")+(LEFT(BAR!A$2:A$1048576,3)="Jelly"),ROW(BAR!A$2:A$1048576)),ROW()-1)),"")</f>
        <v/>
      </c>
      <c r="B144" s="48" t="str">
        <f>IF(COUNTBLANK(A144),"",VLOOKUP(A144,BAR!A:I,9,FALSE))</f>
        <v/>
      </c>
    </row>
    <row r="145" spans="1:2">
      <c r="A145" s="49" t="str" cm="1">
        <f t="array" ref="A145">IFERROR(INDEX(BAR!A:A,SMALL(IF((LEFT(BAR!A$2:A$1048576,3)="SRT")+(LEFT(BAR!A$2:A$1048576,3)="PAS")+(LEFT(BAR!A$2:A$1048576,3)="Jelly"),ROW(BAR!A$2:A$1048576)),ROW()-1)),"")</f>
        <v/>
      </c>
      <c r="B145" s="48" t="str">
        <f>IF(COUNTBLANK(A145),"",VLOOKUP(A145,BAR!A:I,9,FALSE))</f>
        <v/>
      </c>
    </row>
    <row r="146" spans="1:2">
      <c r="A146" s="49" t="str" cm="1">
        <f t="array" ref="A146">IFERROR(INDEX(BAR!A:A,SMALL(IF((LEFT(BAR!A$2:A$1048576,3)="SRT")+(LEFT(BAR!A$2:A$1048576,3)="PAS")+(LEFT(BAR!A$2:A$1048576,3)="Jelly"),ROW(BAR!A$2:A$1048576)),ROW()-1)),"")</f>
        <v/>
      </c>
      <c r="B146" s="48" t="str">
        <f>IF(COUNTBLANK(A146),"",VLOOKUP(A146,BAR!A:I,9,FALSE))</f>
        <v/>
      </c>
    </row>
    <row r="147" spans="1:2">
      <c r="A147" s="49" t="str" cm="1">
        <f t="array" ref="A147">IFERROR(INDEX(BAR!A:A,SMALL(IF((LEFT(BAR!A$2:A$1048576,3)="SRT")+(LEFT(BAR!A$2:A$1048576,3)="PAS")+(LEFT(BAR!A$2:A$1048576,3)="Jelly"),ROW(BAR!A$2:A$1048576)),ROW()-1)),"")</f>
        <v/>
      </c>
      <c r="B147" s="48" t="str">
        <f>IF(COUNTBLANK(A147),"",VLOOKUP(A147,BAR!A:I,9,FALSE))</f>
        <v/>
      </c>
    </row>
    <row r="148" spans="1:2">
      <c r="A148" s="49" t="str" cm="1">
        <f t="array" ref="A148">IFERROR(INDEX(BAR!A:A,SMALL(IF((LEFT(BAR!A$2:A$1048576,3)="SRT")+(LEFT(BAR!A$2:A$1048576,3)="PAS")+(LEFT(BAR!A$2:A$1048576,3)="Jelly"),ROW(BAR!A$2:A$1048576)),ROW()-1)),"")</f>
        <v/>
      </c>
      <c r="B148" s="48" t="str">
        <f>IF(COUNTBLANK(A148),"",VLOOKUP(A148,BAR!A:I,9,FALSE))</f>
        <v/>
      </c>
    </row>
    <row r="149" spans="1:2">
      <c r="A149" s="49" t="str" cm="1">
        <f t="array" ref="A149">IFERROR(INDEX(BAR!A:A,SMALL(IF((LEFT(BAR!A$2:A$1048576,3)="SRT")+(LEFT(BAR!A$2:A$1048576,3)="PAS")+(LEFT(BAR!A$2:A$1048576,3)="Jelly"),ROW(BAR!A$2:A$1048576)),ROW()-1)),"")</f>
        <v/>
      </c>
      <c r="B149" s="48" t="str">
        <f>IF(COUNTBLANK(A149),"",VLOOKUP(A149,BAR!A:I,9,FALSE))</f>
        <v/>
      </c>
    </row>
    <row r="150" spans="1:2">
      <c r="A150" s="49" t="str" cm="1">
        <f t="array" ref="A150">IFERROR(INDEX(BAR!A:A,SMALL(IF((LEFT(BAR!A$2:A$1048576,3)="SRT")+(LEFT(BAR!A$2:A$1048576,3)="PAS")+(LEFT(BAR!A$2:A$1048576,3)="Jelly"),ROW(BAR!A$2:A$1048576)),ROW()-1)),"")</f>
        <v/>
      </c>
      <c r="B150" s="48" t="str">
        <f>IF(COUNTBLANK(A150),"",VLOOKUP(A150,BAR!A:I,9,FALSE))</f>
        <v/>
      </c>
    </row>
    <row r="151" spans="1:2">
      <c r="A151" s="49" t="str" cm="1">
        <f t="array" ref="A151">IFERROR(INDEX(BAR!A:A,SMALL(IF((LEFT(BAR!A$2:A$1048576,3)="SRT")+(LEFT(BAR!A$2:A$1048576,3)="PAS")+(LEFT(BAR!A$2:A$1048576,3)="Jelly"),ROW(BAR!A$2:A$1048576)),ROW()-1)),"")</f>
        <v/>
      </c>
      <c r="B151" s="48" t="str">
        <f>IF(COUNTBLANK(A151),"",VLOOKUP(A151,BAR!A:I,9,FALSE))</f>
        <v/>
      </c>
    </row>
    <row r="152" spans="1:2">
      <c r="A152" s="49" t="str" cm="1">
        <f t="array" ref="A152">IFERROR(INDEX(BAR!A:A,SMALL(IF((LEFT(BAR!A$2:A$1048576,3)="SRT")+(LEFT(BAR!A$2:A$1048576,3)="PAS")+(LEFT(BAR!A$2:A$1048576,3)="Jelly"),ROW(BAR!A$2:A$1048576)),ROW()-1)),"")</f>
        <v/>
      </c>
      <c r="B152" s="48" t="str">
        <f>IF(COUNTBLANK(A152),"",VLOOKUP(A152,BAR!A:I,9,FALSE))</f>
        <v/>
      </c>
    </row>
    <row r="153" spans="1:2">
      <c r="A153" s="49" t="str" cm="1">
        <f t="array" ref="A153">IFERROR(INDEX(BAR!A:A,SMALL(IF((LEFT(BAR!A$2:A$1048576,3)="SRT")+(LEFT(BAR!A$2:A$1048576,3)="PAS")+(LEFT(BAR!A$2:A$1048576,3)="Jelly"),ROW(BAR!A$2:A$1048576)),ROW()-1)),"")</f>
        <v/>
      </c>
      <c r="B153" s="48" t="str">
        <f>IF(COUNTBLANK(A153),"",VLOOKUP(A153,BAR!A:I,9,FALSE))</f>
        <v/>
      </c>
    </row>
    <row r="154" spans="1:2">
      <c r="A154" s="49" t="str" cm="1">
        <f t="array" ref="A154">IFERROR(INDEX(BAR!A:A,SMALL(IF((LEFT(BAR!A$2:A$1048576,3)="SRT")+(LEFT(BAR!A$2:A$1048576,3)="PAS")+(LEFT(BAR!A$2:A$1048576,3)="Jelly"),ROW(BAR!A$2:A$1048576)),ROW()-1)),"")</f>
        <v/>
      </c>
      <c r="B154" s="48" t="str">
        <f>IF(COUNTBLANK(A154),"",VLOOKUP(A154,BAR!A:I,9,FALSE))</f>
        <v/>
      </c>
    </row>
    <row r="155" spans="1:2">
      <c r="A155" s="49" t="str" cm="1">
        <f t="array" ref="A155">IFERROR(INDEX(BAR!A:A,SMALL(IF((LEFT(BAR!A$2:A$1048576,3)="SRT")+(LEFT(BAR!A$2:A$1048576,3)="PAS")+(LEFT(BAR!A$2:A$1048576,3)="Jelly"),ROW(BAR!A$2:A$1048576)),ROW()-1)),"")</f>
        <v/>
      </c>
      <c r="B155" s="48" t="str">
        <f>IF(COUNTBLANK(A155),"",VLOOKUP(A155,BAR!A:I,9,FALSE))</f>
        <v/>
      </c>
    </row>
    <row r="156" spans="1:2">
      <c r="A156" s="49" t="str" cm="1">
        <f t="array" ref="A156">IFERROR(INDEX(BAR!A:A,SMALL(IF((LEFT(BAR!A$2:A$1048576,3)="SRT")+(LEFT(BAR!A$2:A$1048576,3)="PAS")+(LEFT(BAR!A$2:A$1048576,3)="Jelly"),ROW(BAR!A$2:A$1048576)),ROW()-1)),"")</f>
        <v/>
      </c>
      <c r="B156" s="48" t="str">
        <f>IF(COUNTBLANK(A156),"",VLOOKUP(A156,BAR!A:I,9,FALSE))</f>
        <v/>
      </c>
    </row>
    <row r="157" spans="1:2">
      <c r="A157" s="49" t="str" cm="1">
        <f t="array" ref="A157">IFERROR(INDEX(BAR!A:A,SMALL(IF((LEFT(BAR!A$2:A$1048576,3)="SRT")+(LEFT(BAR!A$2:A$1048576,3)="PAS")+(LEFT(BAR!A$2:A$1048576,3)="Jelly"),ROW(BAR!A$2:A$1048576)),ROW()-1)),"")</f>
        <v/>
      </c>
      <c r="B157" s="48" t="str">
        <f>IF(COUNTBLANK(A157),"",VLOOKUP(A157,BAR!A:I,9,FALSE))</f>
        <v/>
      </c>
    </row>
    <row r="158" spans="1:2">
      <c r="A158" s="49" t="str" cm="1">
        <f t="array" ref="A158">IFERROR(INDEX(BAR!A:A,SMALL(IF((LEFT(BAR!A$2:A$1048576,3)="SRT")+(LEFT(BAR!A$2:A$1048576,3)="PAS")+(LEFT(BAR!A$2:A$1048576,3)="Jelly"),ROW(BAR!A$2:A$1048576)),ROW()-1)),"")</f>
        <v/>
      </c>
      <c r="B158" s="48" t="str">
        <f>IF(COUNTBLANK(A158),"",VLOOKUP(A158,BAR!A:I,9,FALSE))</f>
        <v/>
      </c>
    </row>
    <row r="159" spans="1:2">
      <c r="A159" s="49" t="str" cm="1">
        <f t="array" ref="A159">IFERROR(INDEX(BAR!A:A,SMALL(IF((LEFT(BAR!A$2:A$1048576,3)="SRT")+(LEFT(BAR!A$2:A$1048576,3)="PAS")+(LEFT(BAR!A$2:A$1048576,3)="Jelly"),ROW(BAR!A$2:A$1048576)),ROW()-1)),"")</f>
        <v/>
      </c>
      <c r="B159" s="48" t="str">
        <f>IF(COUNTBLANK(A159),"",VLOOKUP(A159,BAR!A:I,9,FALSE))</f>
        <v/>
      </c>
    </row>
    <row r="160" spans="1:2">
      <c r="A160" s="49" t="str" cm="1">
        <f t="array" ref="A160">IFERROR(INDEX(BAR!A:A,SMALL(IF((LEFT(BAR!A$2:A$1048576,3)="SRT")+(LEFT(BAR!A$2:A$1048576,3)="PAS")+(LEFT(BAR!A$2:A$1048576,3)="Jelly"),ROW(BAR!A$2:A$1048576)),ROW()-1)),"")</f>
        <v/>
      </c>
      <c r="B160" s="48" t="str">
        <f>IF(COUNTBLANK(A160),"",VLOOKUP(A160,BAR!A:I,9,FALSE))</f>
        <v/>
      </c>
    </row>
    <row r="161" spans="1:2">
      <c r="A161" s="49" t="str" cm="1">
        <f t="array" ref="A161">IFERROR(INDEX(BAR!A:A,SMALL(IF((LEFT(BAR!A$2:A$1048576,3)="SRT")+(LEFT(BAR!A$2:A$1048576,3)="PAS")+(LEFT(BAR!A$2:A$1048576,3)="Jelly"),ROW(BAR!A$2:A$1048576)),ROW()-1)),"")</f>
        <v/>
      </c>
      <c r="B161" s="48" t="str">
        <f>IF(COUNTBLANK(A161),"",VLOOKUP(A161,BAR!A:I,9,FALSE))</f>
        <v/>
      </c>
    </row>
    <row r="162" spans="1:2">
      <c r="A162" s="49" t="str" cm="1">
        <f t="array" ref="A162">IFERROR(INDEX(BAR!A:A,SMALL(IF((LEFT(BAR!A$2:A$1048576,3)="SRT")+(LEFT(BAR!A$2:A$1048576,3)="PAS")+(LEFT(BAR!A$2:A$1048576,3)="Jelly"),ROW(BAR!A$2:A$1048576)),ROW()-1)),"")</f>
        <v/>
      </c>
      <c r="B162" s="48" t="str">
        <f>IF(COUNTBLANK(A162),"",VLOOKUP(A162,BAR!A:I,9,FALSE))</f>
        <v/>
      </c>
    </row>
    <row r="163" spans="1:2">
      <c r="A163" s="49" t="str" cm="1">
        <f t="array" ref="A163">IFERROR(INDEX(BAR!A:A,SMALL(IF((LEFT(BAR!A$2:A$1048576,3)="SRT")+(LEFT(BAR!A$2:A$1048576,3)="PAS")+(LEFT(BAR!A$2:A$1048576,3)="Jelly"),ROW(BAR!A$2:A$1048576)),ROW()-1)),"")</f>
        <v/>
      </c>
      <c r="B163" s="48" t="str">
        <f>IF(COUNTBLANK(A163),"",VLOOKUP(A163,BAR!A:I,9,FALSE))</f>
        <v/>
      </c>
    </row>
    <row r="164" spans="1:2">
      <c r="A164" s="49" t="str" cm="1">
        <f t="array" ref="A164">IFERROR(INDEX(BAR!A:A,SMALL(IF((LEFT(BAR!A$2:A$1048576,3)="SRT")+(LEFT(BAR!A$2:A$1048576,3)="PAS")+(LEFT(BAR!A$2:A$1048576,3)="Jelly"),ROW(BAR!A$2:A$1048576)),ROW()-1)),"")</f>
        <v/>
      </c>
      <c r="B164" s="48" t="str">
        <f>IF(COUNTBLANK(A164),"",VLOOKUP(A164,BAR!A:I,9,FALSE))</f>
        <v/>
      </c>
    </row>
    <row r="165" spans="1:2">
      <c r="A165" s="49" t="str" cm="1">
        <f t="array" ref="A165">IFERROR(INDEX(BAR!A:A,SMALL(IF((LEFT(BAR!A$2:A$1048576,3)="SRT")+(LEFT(BAR!A$2:A$1048576,3)="PAS")+(LEFT(BAR!A$2:A$1048576,3)="Jelly"),ROW(BAR!A$2:A$1048576)),ROW()-1)),"")</f>
        <v/>
      </c>
      <c r="B165" s="48" t="str">
        <f>IF(COUNTBLANK(A165),"",VLOOKUP(A165,BAR!A:I,9,FALSE))</f>
        <v/>
      </c>
    </row>
    <row r="166" spans="1:2">
      <c r="A166" s="49" t="str" cm="1">
        <f t="array" ref="A166">IFERROR(INDEX(BAR!A:A,SMALL(IF((LEFT(BAR!A$2:A$1048576,3)="SRT")+(LEFT(BAR!A$2:A$1048576,3)="PAS")+(LEFT(BAR!A$2:A$1048576,3)="Jelly"),ROW(BAR!A$2:A$1048576)),ROW()-1)),"")</f>
        <v/>
      </c>
      <c r="B166" s="48" t="str">
        <f>IF(COUNTBLANK(A166),"",VLOOKUP(A166,BAR!A:I,9,FALSE))</f>
        <v/>
      </c>
    </row>
    <row r="167" spans="1:2">
      <c r="A167" s="49" t="str" cm="1">
        <f t="array" ref="A167">IFERROR(INDEX(BAR!A:A,SMALL(IF((LEFT(BAR!A$2:A$1048576,3)="SRT")+(LEFT(BAR!A$2:A$1048576,3)="PAS")+(LEFT(BAR!A$2:A$1048576,3)="Jelly"),ROW(BAR!A$2:A$1048576)),ROW()-1)),"")</f>
        <v/>
      </c>
      <c r="B167" s="48" t="str">
        <f>IF(COUNTBLANK(A167),"",VLOOKUP(A167,BAR!A:I,9,FALSE))</f>
        <v/>
      </c>
    </row>
    <row r="168" spans="1:2">
      <c r="A168" s="49" t="str" cm="1">
        <f t="array" ref="A168">IFERROR(INDEX(BAR!A:A,SMALL(IF((LEFT(BAR!A$2:A$1048576,3)="SRT")+(LEFT(BAR!A$2:A$1048576,3)="PAS")+(LEFT(BAR!A$2:A$1048576,3)="Jelly"),ROW(BAR!A$2:A$1048576)),ROW()-1)),"")</f>
        <v/>
      </c>
      <c r="B168" s="48" t="str">
        <f>IF(COUNTBLANK(A168),"",VLOOKUP(A168,BAR!A:I,9,FALSE))</f>
        <v/>
      </c>
    </row>
    <row r="169" spans="1:2">
      <c r="A169" s="49" t="str" cm="1">
        <f t="array" ref="A169">IFERROR(INDEX(BAR!A:A,SMALL(IF((LEFT(BAR!A$2:A$1048576,3)="SRT")+(LEFT(BAR!A$2:A$1048576,3)="PAS")+(LEFT(BAR!A$2:A$1048576,3)="Jelly"),ROW(BAR!A$2:A$1048576)),ROW()-1)),"")</f>
        <v/>
      </c>
      <c r="B169" s="48" t="str">
        <f>IF(COUNTBLANK(A169),"",VLOOKUP(A169,BAR!A:I,9,FALSE))</f>
        <v/>
      </c>
    </row>
    <row r="170" spans="1:2">
      <c r="A170" s="49" t="str" cm="1">
        <f t="array" ref="A170">IFERROR(INDEX(BAR!A:A,SMALL(IF((LEFT(BAR!A$2:A$1048576,3)="SRT")+(LEFT(BAR!A$2:A$1048576,3)="PAS")+(LEFT(BAR!A$2:A$1048576,3)="Jelly"),ROW(BAR!A$2:A$1048576)),ROW()-1)),"")</f>
        <v/>
      </c>
      <c r="B170" s="48" t="str">
        <f>IF(COUNTBLANK(A170),"",VLOOKUP(A170,BAR!A:I,9,FALSE))</f>
        <v/>
      </c>
    </row>
    <row r="171" spans="1:2">
      <c r="A171" s="49" t="str" cm="1">
        <f t="array" ref="A171">IFERROR(INDEX(BAR!A:A,SMALL(IF((LEFT(BAR!A$2:A$1048576,3)="SRT")+(LEFT(BAR!A$2:A$1048576,3)="PAS")+(LEFT(BAR!A$2:A$1048576,3)="Jelly"),ROW(BAR!A$2:A$1048576)),ROW()-1)),"")</f>
        <v/>
      </c>
      <c r="B171" s="48" t="str">
        <f>IF(COUNTBLANK(A171),"",VLOOKUP(A171,BAR!A:I,9,FALSE))</f>
        <v/>
      </c>
    </row>
    <row r="172" spans="1:2">
      <c r="A172" s="49" t="str" cm="1">
        <f t="array" ref="A172">IFERROR(INDEX(BAR!A:A,SMALL(IF((LEFT(BAR!A$2:A$1048576,3)="SRT")+(LEFT(BAR!A$2:A$1048576,3)="PAS")+(LEFT(BAR!A$2:A$1048576,3)="Jelly"),ROW(BAR!A$2:A$1048576)),ROW()-1)),"")</f>
        <v/>
      </c>
      <c r="B172" s="48" t="str">
        <f>IF(COUNTBLANK(A172),"",VLOOKUP(A172,BAR!A:I,9,FALSE))</f>
        <v/>
      </c>
    </row>
    <row r="173" spans="1:2">
      <c r="A173" s="49" t="str" cm="1">
        <f t="array" ref="A173">IFERROR(INDEX(BAR!A:A,SMALL(IF((LEFT(BAR!A$2:A$1048576,3)="SRT")+(LEFT(BAR!A$2:A$1048576,3)="PAS")+(LEFT(BAR!A$2:A$1048576,3)="Jelly"),ROW(BAR!A$2:A$1048576)),ROW()-1)),"")</f>
        <v/>
      </c>
      <c r="B173" s="48" t="str">
        <f>IF(COUNTBLANK(A173),"",VLOOKUP(A173,BAR!A:I,9,FALSE))</f>
        <v/>
      </c>
    </row>
    <row r="174" spans="1:2">
      <c r="A174" s="49" t="str" cm="1">
        <f t="array" ref="A174">IFERROR(INDEX(BAR!A:A,SMALL(IF((LEFT(BAR!A$2:A$1048576,3)="SRT")+(LEFT(BAR!A$2:A$1048576,3)="PAS")+(LEFT(BAR!A$2:A$1048576,3)="Jelly"),ROW(BAR!A$2:A$1048576)),ROW()-1)),"")</f>
        <v/>
      </c>
      <c r="B174" s="48" t="str">
        <f>IF(COUNTBLANK(A174),"",VLOOKUP(A174,BAR!A:I,9,FALSE))</f>
        <v/>
      </c>
    </row>
    <row r="175" spans="1:2">
      <c r="A175" s="49" t="str" cm="1">
        <f t="array" ref="A175">IFERROR(INDEX(BAR!A:A,SMALL(IF((LEFT(BAR!A$2:A$1048576,3)="SRT")+(LEFT(BAR!A$2:A$1048576,3)="PAS")+(LEFT(BAR!A$2:A$1048576,3)="Jelly"),ROW(BAR!A$2:A$1048576)),ROW()-1)),"")</f>
        <v/>
      </c>
      <c r="B175" s="48" t="str">
        <f>IF(COUNTBLANK(A175),"",VLOOKUP(A175,BAR!A:I,9,FALSE))</f>
        <v/>
      </c>
    </row>
    <row r="176" spans="1:2">
      <c r="A176" s="49" t="str" cm="1">
        <f t="array" ref="A176">IFERROR(INDEX(BAR!A:A,SMALL(IF((LEFT(BAR!A$2:A$1048576,3)="SRT")+(LEFT(BAR!A$2:A$1048576,3)="PAS")+(LEFT(BAR!A$2:A$1048576,3)="Jelly"),ROW(BAR!A$2:A$1048576)),ROW()-1)),"")</f>
        <v/>
      </c>
      <c r="B176" s="48" t="str">
        <f>IF(COUNTBLANK(A176),"",VLOOKUP(A176,BAR!A:I,9,FALSE))</f>
        <v/>
      </c>
    </row>
    <row r="177" spans="1:2">
      <c r="A177" s="49" t="str" cm="1">
        <f t="array" ref="A177">IFERROR(INDEX(BAR!A:A,SMALL(IF((LEFT(BAR!A$2:A$1048576,3)="SRT")+(LEFT(BAR!A$2:A$1048576,3)="PAS")+(LEFT(BAR!A$2:A$1048576,3)="Jelly"),ROW(BAR!A$2:A$1048576)),ROW()-1)),"")</f>
        <v/>
      </c>
      <c r="B177" s="48" t="str">
        <f>IF(COUNTBLANK(A177),"",VLOOKUP(A177,BAR!A:I,9,FALSE))</f>
        <v/>
      </c>
    </row>
    <row r="178" spans="1:2">
      <c r="A178" s="49" t="str" cm="1">
        <f t="array" ref="A178">IFERROR(INDEX(BAR!A:A,SMALL(IF((LEFT(BAR!A$2:A$1048576,3)="SRT")+(LEFT(BAR!A$2:A$1048576,3)="PAS")+(LEFT(BAR!A$2:A$1048576,3)="Jelly"),ROW(BAR!A$2:A$1048576)),ROW()-1)),"")</f>
        <v/>
      </c>
      <c r="B178" s="48" t="str">
        <f>IF(COUNTBLANK(A178),"",VLOOKUP(A178,BAR!A:I,9,FALSE))</f>
        <v/>
      </c>
    </row>
    <row r="179" spans="1:2">
      <c r="A179" s="49" t="str" cm="1">
        <f t="array" ref="A179">IFERROR(INDEX(BAR!A:A,SMALL(IF((LEFT(BAR!A$2:A$1048576,3)="SRT")+(LEFT(BAR!A$2:A$1048576,3)="PAS")+(LEFT(BAR!A$2:A$1048576,3)="Jelly"),ROW(BAR!A$2:A$1048576)),ROW()-1)),"")</f>
        <v/>
      </c>
      <c r="B179" s="48" t="str">
        <f>IF(COUNTBLANK(A179),"",VLOOKUP(A179,BAR!A:I,9,FALSE))</f>
        <v/>
      </c>
    </row>
    <row r="180" spans="1:2">
      <c r="A180" s="49" t="str" cm="1">
        <f t="array" ref="A180">IFERROR(INDEX(BAR!A:A,SMALL(IF((LEFT(BAR!A$2:A$1048576,3)="SRT")+(LEFT(BAR!A$2:A$1048576,3)="PAS")+(LEFT(BAR!A$2:A$1048576,3)="Jelly"),ROW(BAR!A$2:A$1048576)),ROW()-1)),"")</f>
        <v/>
      </c>
      <c r="B180" s="48" t="str">
        <f>IF(COUNTBLANK(A180),"",VLOOKUP(A180,BAR!A:I,9,FALSE))</f>
        <v/>
      </c>
    </row>
    <row r="181" spans="1:2">
      <c r="A181" s="49" t="str" cm="1">
        <f t="array" ref="A181">IFERROR(INDEX(BAR!A:A,SMALL(IF((LEFT(BAR!A$2:A$1048576,3)="SRT")+(LEFT(BAR!A$2:A$1048576,3)="PAS")+(LEFT(BAR!A$2:A$1048576,3)="Jelly"),ROW(BAR!A$2:A$1048576)),ROW()-1)),"")</f>
        <v/>
      </c>
      <c r="B181" s="48" t="str">
        <f>IF(COUNTBLANK(A181),"",VLOOKUP(A181,BAR!A:I,9,FALSE))</f>
        <v/>
      </c>
    </row>
    <row r="182" spans="1:2">
      <c r="A182" s="49" t="str" cm="1">
        <f t="array" ref="A182">IFERROR(INDEX(BAR!A:A,SMALL(IF((LEFT(BAR!A$2:A$1048576,3)="SRT")+(LEFT(BAR!A$2:A$1048576,3)="PAS")+(LEFT(BAR!A$2:A$1048576,3)="Jelly"),ROW(BAR!A$2:A$1048576)),ROW()-1)),"")</f>
        <v/>
      </c>
      <c r="B182" s="48" t="str">
        <f>IF(COUNTBLANK(A182),"",VLOOKUP(A182,BAR!A:I,9,FALSE))</f>
        <v/>
      </c>
    </row>
    <row r="183" spans="1:2">
      <c r="A183" s="49" t="str" cm="1">
        <f t="array" ref="A183">IFERROR(INDEX(BAR!A:A,SMALL(IF((LEFT(BAR!A$2:A$1048576,3)="SRT")+(LEFT(BAR!A$2:A$1048576,3)="PAS")+(LEFT(BAR!A$2:A$1048576,3)="Jelly"),ROW(BAR!A$2:A$1048576)),ROW()-1)),"")</f>
        <v/>
      </c>
      <c r="B183" s="48" t="str">
        <f>IF(COUNTBLANK(A183),"",VLOOKUP(A183,BAR!A:I,9,FALSE))</f>
        <v/>
      </c>
    </row>
    <row r="184" spans="1:2">
      <c r="A184" s="49" t="str" cm="1">
        <f t="array" ref="A184">IFERROR(INDEX(BAR!A:A,SMALL(IF((LEFT(BAR!A$2:A$1048576,3)="SRT")+(LEFT(BAR!A$2:A$1048576,3)="PAS")+(LEFT(BAR!A$2:A$1048576,3)="Jelly"),ROW(BAR!A$2:A$1048576)),ROW()-1)),"")</f>
        <v/>
      </c>
      <c r="B184" s="48" t="str">
        <f>IF(COUNTBLANK(A184),"",VLOOKUP(A184,BAR!A:I,9,FALSE))</f>
        <v/>
      </c>
    </row>
    <row r="185" spans="1:2">
      <c r="A185" s="49" t="str" cm="1">
        <f t="array" ref="A185">IFERROR(INDEX(BAR!A:A,SMALL(IF((LEFT(BAR!A$2:A$1048576,3)="SRT")+(LEFT(BAR!A$2:A$1048576,3)="PAS")+(LEFT(BAR!A$2:A$1048576,3)="Jelly"),ROW(BAR!A$2:A$1048576)),ROW()-1)),"")</f>
        <v/>
      </c>
      <c r="B185" s="48" t="str">
        <f>IF(COUNTBLANK(A185),"",VLOOKUP(A185,BAR!A:I,9,FALSE))</f>
        <v/>
      </c>
    </row>
    <row r="186" spans="1:2">
      <c r="A186" s="49" t="str" cm="1">
        <f t="array" ref="A186">IFERROR(INDEX(BAR!A:A,SMALL(IF((LEFT(BAR!A$2:A$1048576,3)="SRT")+(LEFT(BAR!A$2:A$1048576,3)="PAS")+(LEFT(BAR!A$2:A$1048576,3)="Jelly"),ROW(BAR!A$2:A$1048576)),ROW()-1)),"")</f>
        <v/>
      </c>
      <c r="B186" s="48" t="str">
        <f>IF(COUNTBLANK(A186),"",VLOOKUP(A186,BAR!A:I,9,FALSE))</f>
        <v/>
      </c>
    </row>
    <row r="187" spans="1:2">
      <c r="A187" s="49" t="str" cm="1">
        <f t="array" ref="A187">IFERROR(INDEX(BAR!A:A,SMALL(IF((LEFT(BAR!A$2:A$1048576,3)="SRT")+(LEFT(BAR!A$2:A$1048576,3)="PAS")+(LEFT(BAR!A$2:A$1048576,3)="Jelly"),ROW(BAR!A$2:A$1048576)),ROW()-1)),"")</f>
        <v/>
      </c>
      <c r="B187" s="48" t="str">
        <f>IF(COUNTBLANK(A187),"",VLOOKUP(A187,BAR!A:I,9,FALSE))</f>
        <v/>
      </c>
    </row>
    <row r="188" spans="1:2">
      <c r="A188" s="49" t="str" cm="1">
        <f t="array" ref="A188">IFERROR(INDEX(BAR!A:A,SMALL(IF((LEFT(BAR!A$2:A$1048576,3)="SRT")+(LEFT(BAR!A$2:A$1048576,3)="PAS")+(LEFT(BAR!A$2:A$1048576,3)="Jelly"),ROW(BAR!A$2:A$1048576)),ROW()-1)),"")</f>
        <v/>
      </c>
      <c r="B188" s="48" t="str">
        <f>IF(COUNTBLANK(A188),"",VLOOKUP(A188,BAR!A:I,9,FALSE))</f>
        <v/>
      </c>
    </row>
    <row r="189" spans="1:2">
      <c r="A189" s="49" t="str" cm="1">
        <f t="array" ref="A189">IFERROR(INDEX(BAR!A:A,SMALL(IF((LEFT(BAR!A$2:A$1048576,3)="SRT")+(LEFT(BAR!A$2:A$1048576,3)="PAS")+(LEFT(BAR!A$2:A$1048576,3)="Jelly"),ROW(BAR!A$2:A$1048576)),ROW()-1)),"")</f>
        <v/>
      </c>
      <c r="B189" s="48" t="str">
        <f>IF(COUNTBLANK(A189),"",VLOOKUP(A189,BAR!A:I,9,FALSE))</f>
        <v/>
      </c>
    </row>
    <row r="190" spans="1:2">
      <c r="A190" s="49" t="str" cm="1">
        <f t="array" ref="A190">IFERROR(INDEX(BAR!A:A,SMALL(IF((LEFT(BAR!A$2:A$1048576,3)="SRT")+(LEFT(BAR!A$2:A$1048576,3)="PAS")+(LEFT(BAR!A$2:A$1048576,3)="Jelly"),ROW(BAR!A$2:A$1048576)),ROW()-1)),"")</f>
        <v/>
      </c>
      <c r="B190" s="48" t="str">
        <f>IF(COUNTBLANK(A190),"",VLOOKUP(A190,BAR!A:I,9,FALSE))</f>
        <v/>
      </c>
    </row>
    <row r="191" spans="1:2">
      <c r="A191" s="49" t="str" cm="1">
        <f t="array" ref="A191">IFERROR(INDEX(BAR!A:A,SMALL(IF((LEFT(BAR!A$2:A$1048576,3)="SRT")+(LEFT(BAR!A$2:A$1048576,3)="PAS")+(LEFT(BAR!A$2:A$1048576,3)="Jelly"),ROW(BAR!A$2:A$1048576)),ROW()-1)),"")</f>
        <v/>
      </c>
      <c r="B191" s="48" t="str">
        <f>IF(COUNTBLANK(A191),"",VLOOKUP(A191,BAR!A:I,9,FALSE))</f>
        <v/>
      </c>
    </row>
    <row r="192" spans="1:2">
      <c r="A192" s="49" t="str" cm="1">
        <f t="array" ref="A192">IFERROR(INDEX(BAR!A:A,SMALL(IF((LEFT(BAR!A$2:A$1048576,3)="SRT")+(LEFT(BAR!A$2:A$1048576,3)="PAS")+(LEFT(BAR!A$2:A$1048576,3)="Jelly"),ROW(BAR!A$2:A$1048576)),ROW()-1)),"")</f>
        <v/>
      </c>
      <c r="B192" s="48" t="str">
        <f>IF(COUNTBLANK(A192),"",VLOOKUP(A192,BAR!A:I,9,FALSE))</f>
        <v/>
      </c>
    </row>
    <row r="193" spans="1:2">
      <c r="A193" s="49" t="str" cm="1">
        <f t="array" ref="A193">IFERROR(INDEX(BAR!A:A,SMALL(IF((LEFT(BAR!A$2:A$1048576,3)="SRT")+(LEFT(BAR!A$2:A$1048576,3)="PAS")+(LEFT(BAR!A$2:A$1048576,3)="Jelly"),ROW(BAR!A$2:A$1048576)),ROW()-1)),"")</f>
        <v/>
      </c>
      <c r="B193" s="48" t="str">
        <f>IF(COUNTBLANK(A193),"",VLOOKUP(A193,BAR!A:I,9,FALSE))</f>
        <v/>
      </c>
    </row>
    <row r="194" spans="1:2">
      <c r="A194" s="49" t="str" cm="1">
        <f t="array" ref="A194">IFERROR(INDEX(BAR!A:A,SMALL(IF((LEFT(BAR!A$2:A$1048576,3)="SRT")+(LEFT(BAR!A$2:A$1048576,3)="PAS")+(LEFT(BAR!A$2:A$1048576,3)="Jelly"),ROW(BAR!A$2:A$1048576)),ROW()-1)),"")</f>
        <v/>
      </c>
      <c r="B194" s="48" t="str">
        <f>IF(COUNTBLANK(A194),"",VLOOKUP(A194,BAR!A:I,9,FALSE))</f>
        <v/>
      </c>
    </row>
    <row r="195" spans="1:2">
      <c r="A195" s="49" t="str" cm="1">
        <f t="array" ref="A195">IFERROR(INDEX(BAR!A:A,SMALL(IF((LEFT(BAR!A$2:A$1048576,3)="SRT")+(LEFT(BAR!A$2:A$1048576,3)="PAS")+(LEFT(BAR!A$2:A$1048576,3)="Jelly"),ROW(BAR!A$2:A$1048576)),ROW()-1)),"")</f>
        <v/>
      </c>
      <c r="B195" s="48" t="str">
        <f>IF(COUNTBLANK(A195),"",VLOOKUP(A195,BAR!A:I,9,FALSE))</f>
        <v/>
      </c>
    </row>
    <row r="196" spans="1:2">
      <c r="A196" s="49" t="str" cm="1">
        <f t="array" ref="A196">IFERROR(INDEX(BAR!A:A,SMALL(IF((LEFT(BAR!A$2:A$1048576,3)="SRT")+(LEFT(BAR!A$2:A$1048576,3)="PAS")+(LEFT(BAR!A$2:A$1048576,3)="Jelly"),ROW(BAR!A$2:A$1048576)),ROW()-1)),"")</f>
        <v/>
      </c>
      <c r="B196" s="48" t="str">
        <f>IF(COUNTBLANK(A196),"",VLOOKUP(A196,BAR!A:I,9,FALSE))</f>
        <v/>
      </c>
    </row>
    <row r="197" spans="1:2">
      <c r="A197" s="49" t="str" cm="1">
        <f t="array" ref="A197">IFERROR(INDEX(BAR!A:A,SMALL(IF((LEFT(BAR!A$2:A$1048576,3)="SRT")+(LEFT(BAR!A$2:A$1048576,3)="PAS")+(LEFT(BAR!A$2:A$1048576,3)="Jelly"),ROW(BAR!A$2:A$1048576)),ROW()-1)),"")</f>
        <v/>
      </c>
      <c r="B197" s="48" t="str">
        <f>IF(COUNTBLANK(A197),"",VLOOKUP(A197,BAR!A:I,9,FALSE))</f>
        <v/>
      </c>
    </row>
    <row r="198" spans="1:2">
      <c r="A198" s="49" t="str" cm="1">
        <f t="array" ref="A198">IFERROR(INDEX(BAR!A:A,SMALL(IF((LEFT(BAR!A$2:A$1048576,3)="SRT")+(LEFT(BAR!A$2:A$1048576,3)="PAS")+(LEFT(BAR!A$2:A$1048576,3)="Jelly"),ROW(BAR!A$2:A$1048576)),ROW()-1)),"")</f>
        <v/>
      </c>
      <c r="B198" s="48" t="str">
        <f>IF(COUNTBLANK(A198),"",VLOOKUP(A198,BAR!A:I,9,FALSE))</f>
        <v/>
      </c>
    </row>
    <row r="199" spans="1:2">
      <c r="A199" s="49" t="str" cm="1">
        <f t="array" ref="A199">IFERROR(INDEX(BAR!A:A,SMALL(IF((LEFT(BAR!A$2:A$1048576,3)="SRT")+(LEFT(BAR!A$2:A$1048576,3)="PAS")+(LEFT(BAR!A$2:A$1048576,3)="Jelly"),ROW(BAR!A$2:A$1048576)),ROW()-1)),"")</f>
        <v/>
      </c>
      <c r="B199" s="48" t="str">
        <f>IF(COUNTBLANK(A199),"",VLOOKUP(A199,BAR!A:I,9,FALSE))</f>
        <v/>
      </c>
    </row>
    <row r="200" spans="1:2">
      <c r="A200" s="49" t="str" cm="1">
        <f t="array" ref="A200">IFERROR(INDEX(BAR!A:A,SMALL(IF((LEFT(BAR!A$2:A$1048576,3)="SRT")+(LEFT(BAR!A$2:A$1048576,3)="PAS")+(LEFT(BAR!A$2:A$1048576,3)="Jelly"),ROW(BAR!A$2:A$1048576)),ROW()-1)),"")</f>
        <v/>
      </c>
      <c r="B200" s="48" t="str">
        <f>IF(COUNTBLANK(A200),"",VLOOKUP(A200,BAR!A:I,9,FALSE))</f>
        <v/>
      </c>
    </row>
    <row r="201" spans="1:2">
      <c r="A201" s="49" t="str" cm="1">
        <f t="array" ref="A201">IFERROR(INDEX(BAR!A:A,SMALL(IF((LEFT(BAR!A$2:A$1048576,3)="SRT")+(LEFT(BAR!A$2:A$1048576,3)="PAS")+(LEFT(BAR!A$2:A$1048576,3)="Jelly"),ROW(BAR!A$2:A$1048576)),ROW()-1)),"")</f>
        <v/>
      </c>
      <c r="B201" s="48" t="str">
        <f>IF(COUNTBLANK(A201),"",VLOOKUP(A201,BAR!A:I,9,FALSE))</f>
        <v/>
      </c>
    </row>
    <row r="202" spans="1:2">
      <c r="A202" s="49" t="str" cm="1">
        <f t="array" ref="A202">IFERROR(INDEX(BAR!A:A,SMALL(IF((LEFT(BAR!A$2:A$1048576,3)="SRT")+(LEFT(BAR!A$2:A$1048576,3)="PAS")+(LEFT(BAR!A$2:A$1048576,3)="Jelly"),ROW(BAR!A$2:A$1048576)),ROW()-1)),"")</f>
        <v/>
      </c>
      <c r="B202" s="48" t="str">
        <f>IF(COUNTBLANK(A202),"",VLOOKUP(A202,BAR!A:I,9,FALSE))</f>
        <v/>
      </c>
    </row>
    <row r="203" spans="1:2">
      <c r="A203" s="49" t="str" cm="1">
        <f t="array" ref="A203">IFERROR(INDEX(BAR!A:A,SMALL(IF((LEFT(BAR!A$2:A$1048576,3)="SRT")+(LEFT(BAR!A$2:A$1048576,3)="PAS")+(LEFT(BAR!A$2:A$1048576,3)="Jelly"),ROW(BAR!A$2:A$1048576)),ROW()-1)),"")</f>
        <v/>
      </c>
      <c r="B203" s="48" t="str">
        <f>IF(COUNTBLANK(A203),"",VLOOKUP(A203,BAR!A:I,9,FALSE))</f>
        <v/>
      </c>
    </row>
    <row r="204" spans="1:2">
      <c r="A204" s="49" t="str" cm="1">
        <f t="array" ref="A204">IFERROR(INDEX(BAR!A:A,SMALL(IF((LEFT(BAR!A$2:A$1048576,3)="SRT")+(LEFT(BAR!A$2:A$1048576,3)="PAS")+(LEFT(BAR!A$2:A$1048576,3)="Jelly"),ROW(BAR!A$2:A$1048576)),ROW()-1)),"")</f>
        <v/>
      </c>
      <c r="B204" s="48" t="str">
        <f>IF(COUNTBLANK(A204),"",VLOOKUP(A204,BAR!A:I,9,FALSE))</f>
        <v/>
      </c>
    </row>
    <row r="205" spans="1:2">
      <c r="A205" s="49" t="str" cm="1">
        <f t="array" ref="A205">IFERROR(INDEX(BAR!A:A,SMALL(IF((LEFT(BAR!A$2:A$1048576,3)="SRT")+(LEFT(BAR!A$2:A$1048576,3)="PAS")+(LEFT(BAR!A$2:A$1048576,3)="Jelly"),ROW(BAR!A$2:A$1048576)),ROW()-1)),"")</f>
        <v/>
      </c>
      <c r="B205" s="48" t="str">
        <f>IF(COUNTBLANK(A205),"",VLOOKUP(A205,BAR!A:I,9,FALSE))</f>
        <v/>
      </c>
    </row>
    <row r="206" spans="1:2">
      <c r="A206" s="49" t="str" cm="1">
        <f t="array" ref="A206">IFERROR(INDEX(BAR!A:A,SMALL(IF((LEFT(BAR!A$2:A$1048576,3)="SRT")+(LEFT(BAR!A$2:A$1048576,3)="PAS")+(LEFT(BAR!A$2:A$1048576,3)="Jelly"),ROW(BAR!A$2:A$1048576)),ROW()-1)),"")</f>
        <v/>
      </c>
      <c r="B206" s="48" t="str">
        <f>IF(COUNTBLANK(A206),"",VLOOKUP(A206,BAR!A:I,9,FALSE))</f>
        <v/>
      </c>
    </row>
    <row r="207" spans="1:2">
      <c r="A207" s="49" t="str" cm="1">
        <f t="array" ref="A207">IFERROR(INDEX(BAR!A:A,SMALL(IF((LEFT(BAR!A$2:A$1048576,3)="SRT")+(LEFT(BAR!A$2:A$1048576,3)="PAS")+(LEFT(BAR!A$2:A$1048576,3)="Jelly"),ROW(BAR!A$2:A$1048576)),ROW()-1)),"")</f>
        <v/>
      </c>
      <c r="B207" s="48" t="str">
        <f>IF(COUNTBLANK(A207),"",VLOOKUP(A207,BAR!A:I,9,FALSE))</f>
        <v/>
      </c>
    </row>
    <row r="208" spans="1:2">
      <c r="A208" s="49" t="str" cm="1">
        <f t="array" ref="A208">IFERROR(INDEX(BAR!A:A,SMALL(IF((LEFT(BAR!A$2:A$1048576,3)="SRT")+(LEFT(BAR!A$2:A$1048576,3)="PAS")+(LEFT(BAR!A$2:A$1048576,3)="Jelly"),ROW(BAR!A$2:A$1048576)),ROW()-1)),"")</f>
        <v/>
      </c>
      <c r="B208" s="48" t="str">
        <f>IF(COUNTBLANK(A208),"",VLOOKUP(A208,BAR!A:I,9,FALSE))</f>
        <v/>
      </c>
    </row>
    <row r="209" spans="1:2">
      <c r="A209" s="49" t="str" cm="1">
        <f t="array" ref="A209">IFERROR(INDEX(BAR!A:A,SMALL(IF((LEFT(BAR!A$2:A$1048576,3)="SRT")+(LEFT(BAR!A$2:A$1048576,3)="PAS")+(LEFT(BAR!A$2:A$1048576,3)="Jelly"),ROW(BAR!A$2:A$1048576)),ROW()-1)),"")</f>
        <v/>
      </c>
      <c r="B209" s="48" t="str">
        <f>IF(COUNTBLANK(A209),"",VLOOKUP(A209,BAR!A:I,9,FALSE))</f>
        <v/>
      </c>
    </row>
    <row r="210" spans="1:2">
      <c r="A210" s="49" t="str" cm="1">
        <f t="array" ref="A210">IFERROR(INDEX(BAR!A:A,SMALL(IF((LEFT(BAR!A$2:A$1048576,3)="SRT")+(LEFT(BAR!A$2:A$1048576,3)="PAS")+(LEFT(BAR!A$2:A$1048576,3)="Jelly"),ROW(BAR!A$2:A$1048576)),ROW()-1)),"")</f>
        <v/>
      </c>
      <c r="B210" s="48" t="str">
        <f>IF(COUNTBLANK(A210),"",VLOOKUP(A210,BAR!A:I,9,FALSE))</f>
        <v/>
      </c>
    </row>
    <row r="211" spans="1:2">
      <c r="A211" s="49" t="str" cm="1">
        <f t="array" ref="A211">IFERROR(INDEX(BAR!A:A,SMALL(IF((LEFT(BAR!A$2:A$1048576,3)="SRT")+(LEFT(BAR!A$2:A$1048576,3)="PAS")+(LEFT(BAR!A$2:A$1048576,3)="Jelly"),ROW(BAR!A$2:A$1048576)),ROW()-1)),"")</f>
        <v/>
      </c>
      <c r="B211" s="48" t="str">
        <f>IF(COUNTBLANK(A211),"",VLOOKUP(A211,BAR!A:I,9,FALSE))</f>
        <v/>
      </c>
    </row>
    <row r="212" spans="1:2">
      <c r="A212" s="49" t="str" cm="1">
        <f t="array" ref="A212">IFERROR(INDEX(BAR!A:A,SMALL(IF((LEFT(BAR!A$2:A$1048576,3)="SRT")+(LEFT(BAR!A$2:A$1048576,3)="PAS")+(LEFT(BAR!A$2:A$1048576,3)="Jelly"),ROW(BAR!A$2:A$1048576)),ROW()-1)),"")</f>
        <v/>
      </c>
      <c r="B212" s="48" t="str">
        <f>IF(COUNTBLANK(A212),"",VLOOKUP(A212,BAR!A:I,9,FALSE))</f>
        <v/>
      </c>
    </row>
    <row r="213" spans="1:2">
      <c r="A213" s="49" t="str" cm="1">
        <f t="array" ref="A213">IFERROR(INDEX(BAR!A:A,SMALL(IF((LEFT(BAR!A$2:A$1048576,3)="SRT")+(LEFT(BAR!A$2:A$1048576,3)="PAS")+(LEFT(BAR!A$2:A$1048576,3)="Jelly"),ROW(BAR!A$2:A$1048576)),ROW()-1)),"")</f>
        <v/>
      </c>
      <c r="B213" s="48" t="str">
        <f>IF(COUNTBLANK(A213),"",VLOOKUP(A213,BAR!A:I,9,FALSE))</f>
        <v/>
      </c>
    </row>
    <row r="214" spans="1:2">
      <c r="A214" s="49" t="str" cm="1">
        <f t="array" ref="A214">IFERROR(INDEX(BAR!A:A,SMALL(IF((LEFT(BAR!A$2:A$1048576,3)="SRT")+(LEFT(BAR!A$2:A$1048576,3)="PAS")+(LEFT(BAR!A$2:A$1048576,3)="Jelly"),ROW(BAR!A$2:A$1048576)),ROW()-1)),"")</f>
        <v/>
      </c>
      <c r="B214" s="48" t="str">
        <f>IF(COUNTBLANK(A214),"",VLOOKUP(A214,BAR!A:I,9,FALSE))</f>
        <v/>
      </c>
    </row>
    <row r="215" spans="1:2">
      <c r="A215" s="49" t="str" cm="1">
        <f t="array" ref="A215">IFERROR(INDEX(BAR!A:A,SMALL(IF((LEFT(BAR!A$2:A$1048576,3)="SRT")+(LEFT(BAR!A$2:A$1048576,3)="PAS")+(LEFT(BAR!A$2:A$1048576,3)="Jelly"),ROW(BAR!A$2:A$1048576)),ROW()-1)),"")</f>
        <v/>
      </c>
      <c r="B215" s="48" t="str">
        <f>IF(COUNTBLANK(A215),"",VLOOKUP(A215,BAR!A:I,9,FALSE))</f>
        <v/>
      </c>
    </row>
    <row r="216" spans="1:2">
      <c r="A216" s="49" t="str" cm="1">
        <f t="array" ref="A216">IFERROR(INDEX(BAR!A:A,SMALL(IF((LEFT(BAR!A$2:A$1048576,3)="SRT")+(LEFT(BAR!A$2:A$1048576,3)="PAS")+(LEFT(BAR!A$2:A$1048576,3)="Jelly"),ROW(BAR!A$2:A$1048576)),ROW()-1)),"")</f>
        <v/>
      </c>
      <c r="B216" s="48" t="str">
        <f>IF(COUNTBLANK(A216),"",VLOOKUP(A216,BAR!A:I,9,FALSE))</f>
        <v/>
      </c>
    </row>
    <row r="217" spans="1:2">
      <c r="A217" s="49" t="str" cm="1">
        <f t="array" ref="A217">IFERROR(INDEX(BAR!A:A,SMALL(IF((LEFT(BAR!A$2:A$1048576,3)="SRT")+(LEFT(BAR!A$2:A$1048576,3)="PAS")+(LEFT(BAR!A$2:A$1048576,3)="Jelly"),ROW(BAR!A$2:A$1048576)),ROW()-1)),"")</f>
        <v/>
      </c>
      <c r="B217" s="48" t="str">
        <f>IF(COUNTBLANK(A217),"",VLOOKUP(A217,BAR!A:I,9,FALSE))</f>
        <v/>
      </c>
    </row>
    <row r="218" spans="1:2">
      <c r="A218" s="49" t="str" cm="1">
        <f t="array" ref="A218">IFERROR(INDEX(BAR!A:A,SMALL(IF((LEFT(BAR!A$2:A$1048576,3)="SRT")+(LEFT(BAR!A$2:A$1048576,3)="PAS")+(LEFT(BAR!A$2:A$1048576,3)="Jelly"),ROW(BAR!A$2:A$1048576)),ROW()-1)),"")</f>
        <v/>
      </c>
      <c r="B218" s="48" t="str">
        <f>IF(COUNTBLANK(A218),"",VLOOKUP(A218,BAR!A:I,9,FALSE))</f>
        <v/>
      </c>
    </row>
    <row r="219" spans="1:2">
      <c r="A219" s="49" t="str" cm="1">
        <f t="array" ref="A219">IFERROR(INDEX(BAR!A:A,SMALL(IF((LEFT(BAR!A$2:A$1048576,3)="SRT")+(LEFT(BAR!A$2:A$1048576,3)="PAS")+(LEFT(BAR!A$2:A$1048576,3)="Jelly"),ROW(BAR!A$2:A$1048576)),ROW()-1)),"")</f>
        <v/>
      </c>
      <c r="B219" s="48" t="str">
        <f>IF(COUNTBLANK(A219),"",VLOOKUP(A219,BAR!A:I,9,FALSE))</f>
        <v/>
      </c>
    </row>
    <row r="220" spans="1:2">
      <c r="A220" s="49" t="str" cm="1">
        <f t="array" ref="A220">IFERROR(INDEX(BAR!A:A,SMALL(IF((LEFT(BAR!A$2:A$1048576,3)="SRT")+(LEFT(BAR!A$2:A$1048576,3)="PAS")+(LEFT(BAR!A$2:A$1048576,3)="Jelly"),ROW(BAR!A$2:A$1048576)),ROW()-1)),"")</f>
        <v/>
      </c>
      <c r="B220" s="48" t="str">
        <f>IF(COUNTBLANK(A220),"",VLOOKUP(A220,BAR!A:I,9,FALSE))</f>
        <v/>
      </c>
    </row>
    <row r="221" spans="1:2">
      <c r="A221" s="49" t="str" cm="1">
        <f t="array" ref="A221">IFERROR(INDEX(BAR!A:A,SMALL(IF((LEFT(BAR!A$2:A$1048576,3)="SRT")+(LEFT(BAR!A$2:A$1048576,3)="PAS")+(LEFT(BAR!A$2:A$1048576,3)="Jelly"),ROW(BAR!A$2:A$1048576)),ROW()-1)),"")</f>
        <v/>
      </c>
      <c r="B221" s="48" t="str">
        <f>IF(COUNTBLANK(A221),"",VLOOKUP(A221,BAR!A:I,9,FALSE))</f>
        <v/>
      </c>
    </row>
    <row r="222" spans="1:2">
      <c r="A222" s="49" t="str" cm="1">
        <f t="array" ref="A222">IFERROR(INDEX(BAR!A:A,SMALL(IF((LEFT(BAR!A$2:A$1048576,3)="SRT")+(LEFT(BAR!A$2:A$1048576,3)="PAS")+(LEFT(BAR!A$2:A$1048576,3)="Jelly"),ROW(BAR!A$2:A$1048576)),ROW()-1)),"")</f>
        <v/>
      </c>
      <c r="B222" s="48" t="str">
        <f>IF(COUNTBLANK(A222),"",VLOOKUP(A222,BAR!A:I,9,FALSE))</f>
        <v/>
      </c>
    </row>
    <row r="223" spans="1:2">
      <c r="A223" s="49" t="str" cm="1">
        <f t="array" ref="A223">IFERROR(INDEX(BAR!A:A,SMALL(IF((LEFT(BAR!A$2:A$1048576,3)="SRT")+(LEFT(BAR!A$2:A$1048576,3)="PAS")+(LEFT(BAR!A$2:A$1048576,3)="Jelly"),ROW(BAR!A$2:A$1048576)),ROW()-1)),"")</f>
        <v/>
      </c>
      <c r="B223" s="48" t="str">
        <f>IF(COUNTBLANK(A223),"",VLOOKUP(A223,BAR!A:I,9,FALSE))</f>
        <v/>
      </c>
    </row>
    <row r="224" spans="1:2">
      <c r="A224" s="49" t="str" cm="1">
        <f t="array" ref="A224">IFERROR(INDEX(BAR!A:A,SMALL(IF((LEFT(BAR!A$2:A$1048576,3)="SRT")+(LEFT(BAR!A$2:A$1048576,3)="PAS")+(LEFT(BAR!A$2:A$1048576,3)="Jelly"),ROW(BAR!A$2:A$1048576)),ROW()-1)),"")</f>
        <v/>
      </c>
      <c r="B224" s="48" t="str">
        <f>IF(COUNTBLANK(A224),"",VLOOKUP(A224,BAR!A:I,9,FALSE))</f>
        <v/>
      </c>
    </row>
    <row r="225" spans="1:2">
      <c r="A225" s="49" t="str" cm="1">
        <f t="array" ref="A225">IFERROR(INDEX(BAR!A:A,SMALL(IF((LEFT(BAR!A$2:A$1048576,3)="SRT")+(LEFT(BAR!A$2:A$1048576,3)="PAS")+(LEFT(BAR!A$2:A$1048576,3)="Jelly"),ROW(BAR!A$2:A$1048576)),ROW()-1)),"")</f>
        <v/>
      </c>
      <c r="B225" s="48" t="str">
        <f>IF(COUNTBLANK(A225),"",VLOOKUP(A225,BAR!A:I,9,FALSE))</f>
        <v/>
      </c>
    </row>
    <row r="226" spans="1:2">
      <c r="A226" s="49" t="str" cm="1">
        <f t="array" ref="A226">IFERROR(INDEX(BAR!A:A,SMALL(IF((LEFT(BAR!A$2:A$1048576,3)="SRT")+(LEFT(BAR!A$2:A$1048576,3)="PAS")+(LEFT(BAR!A$2:A$1048576,3)="Jelly"),ROW(BAR!A$2:A$1048576)),ROW()-1)),"")</f>
        <v/>
      </c>
      <c r="B226" s="48" t="str">
        <f>IF(COUNTBLANK(A226),"",VLOOKUP(A226,BAR!A:I,9,FALSE))</f>
        <v/>
      </c>
    </row>
    <row r="227" spans="1:2">
      <c r="A227" s="49" t="str" cm="1">
        <f t="array" ref="A227">IFERROR(INDEX(BAR!A:A,SMALL(IF((LEFT(BAR!A$2:A$1048576,3)="SRT")+(LEFT(BAR!A$2:A$1048576,3)="PAS")+(LEFT(BAR!A$2:A$1048576,3)="Jelly"),ROW(BAR!A$2:A$1048576)),ROW()-1)),"")</f>
        <v/>
      </c>
      <c r="B227" s="48" t="str">
        <f>IF(COUNTBLANK(A227),"",VLOOKUP(A227,BAR!A:I,9,FALSE))</f>
        <v/>
      </c>
    </row>
    <row r="228" spans="1:2">
      <c r="A228" s="49" t="str" cm="1">
        <f t="array" ref="A228">IFERROR(INDEX(BAR!A:A,SMALL(IF((LEFT(BAR!A$2:A$1048576,3)="SRT")+(LEFT(BAR!A$2:A$1048576,3)="PAS")+(LEFT(BAR!A$2:A$1048576,3)="Jelly"),ROW(BAR!A$2:A$1048576)),ROW()-1)),"")</f>
        <v/>
      </c>
      <c r="B228" s="48" t="str">
        <f>IF(COUNTBLANK(A228),"",VLOOKUP(A228,BAR!A:I,9,FALSE))</f>
        <v/>
      </c>
    </row>
    <row r="229" spans="1:2">
      <c r="A229" s="49" t="str" cm="1">
        <f t="array" ref="A229">IFERROR(INDEX(BAR!A:A,SMALL(IF((LEFT(BAR!A$2:A$1048576,3)="SRT")+(LEFT(BAR!A$2:A$1048576,3)="PAS")+(LEFT(BAR!A$2:A$1048576,3)="Jelly"),ROW(BAR!A$2:A$1048576)),ROW()-1)),"")</f>
        <v/>
      </c>
      <c r="B229" s="48" t="str">
        <f>IF(COUNTBLANK(A229),"",VLOOKUP(A229,BAR!A:I,9,FALSE))</f>
        <v/>
      </c>
    </row>
    <row r="230" spans="1:2">
      <c r="A230" s="49" t="str" cm="1">
        <f t="array" ref="A230">IFERROR(INDEX(BAR!A:A,SMALL(IF((LEFT(BAR!A$2:A$1048576,3)="SRT")+(LEFT(BAR!A$2:A$1048576,3)="PAS")+(LEFT(BAR!A$2:A$1048576,3)="Jelly"),ROW(BAR!A$2:A$1048576)),ROW()-1)),"")</f>
        <v/>
      </c>
      <c r="B230" s="48" t="str">
        <f>IF(COUNTBLANK(A230),"",VLOOKUP(A230,BAR!A:I,9,FALSE))</f>
        <v/>
      </c>
    </row>
    <row r="231" spans="1:2">
      <c r="A231" s="49" t="str" cm="1">
        <f t="array" ref="A231">IFERROR(INDEX(BAR!A:A,SMALL(IF((LEFT(BAR!A$2:A$1048576,3)="SRT")+(LEFT(BAR!A$2:A$1048576,3)="PAS")+(LEFT(BAR!A$2:A$1048576,3)="Jelly"),ROW(BAR!A$2:A$1048576)),ROW()-1)),"")</f>
        <v/>
      </c>
      <c r="B231" s="48" t="str">
        <f>IF(COUNTBLANK(A231),"",VLOOKUP(A231,BAR!A:I,9,FALSE))</f>
        <v/>
      </c>
    </row>
    <row r="232" spans="1:2">
      <c r="A232" s="49" t="str" cm="1">
        <f t="array" ref="A232">IFERROR(INDEX(BAR!A:A,SMALL(IF((LEFT(BAR!A$2:A$1048576,3)="SRT")+(LEFT(BAR!A$2:A$1048576,3)="PAS")+(LEFT(BAR!A$2:A$1048576,3)="Jelly"),ROW(BAR!A$2:A$1048576)),ROW()-1)),"")</f>
        <v/>
      </c>
      <c r="B232" s="48" t="str">
        <f>IF(COUNTBLANK(A232),"",VLOOKUP(A232,BAR!A:I,9,FALSE))</f>
        <v/>
      </c>
    </row>
    <row r="233" spans="1:2">
      <c r="A233" s="49" t="str" cm="1">
        <f t="array" ref="A233">IFERROR(INDEX(BAR!A:A,SMALL(IF((LEFT(BAR!A$2:A$1048576,3)="SRT")+(LEFT(BAR!A$2:A$1048576,3)="PAS")+(LEFT(BAR!A$2:A$1048576,3)="Jelly"),ROW(BAR!A$2:A$1048576)),ROW()-1)),"")</f>
        <v/>
      </c>
      <c r="B233" s="48" t="str">
        <f>IF(COUNTBLANK(A233),"",VLOOKUP(A233,BAR!A:I,9,FALSE))</f>
        <v/>
      </c>
    </row>
    <row r="234" spans="1:2">
      <c r="A234" s="49" t="str" cm="1">
        <f t="array" ref="A234">IFERROR(INDEX(BAR!A:A,SMALL(IF((LEFT(BAR!A$2:A$1048576,3)="SRT")+(LEFT(BAR!A$2:A$1048576,3)="PAS")+(LEFT(BAR!A$2:A$1048576,3)="Jelly"),ROW(BAR!A$2:A$1048576)),ROW()-1)),"")</f>
        <v/>
      </c>
      <c r="B234" s="48" t="str">
        <f>IF(COUNTBLANK(A234),"",VLOOKUP(A234,BAR!A:I,9,FALSE))</f>
        <v/>
      </c>
    </row>
    <row r="235" spans="1:2">
      <c r="A235" s="49" t="str" cm="1">
        <f t="array" ref="A235">IFERROR(INDEX(BAR!A:A,SMALL(IF((LEFT(BAR!A$2:A$1048576,3)="SRT")+(LEFT(BAR!A$2:A$1048576,3)="PAS")+(LEFT(BAR!A$2:A$1048576,3)="Jelly"),ROW(BAR!A$2:A$1048576)),ROW()-1)),"")</f>
        <v/>
      </c>
      <c r="B235" s="48" t="str">
        <f>IF(COUNTBLANK(A235),"",VLOOKUP(A235,BAR!A:I,9,FALSE))</f>
        <v/>
      </c>
    </row>
    <row r="236" spans="1:2">
      <c r="A236" s="49" t="str" cm="1">
        <f t="array" ref="A236">IFERROR(INDEX(BAR!A:A,SMALL(IF((LEFT(BAR!A$2:A$1048576,3)="SRT")+(LEFT(BAR!A$2:A$1048576,3)="PAS")+(LEFT(BAR!A$2:A$1048576,3)="Jelly"),ROW(BAR!A$2:A$1048576)),ROW()-1)),"")</f>
        <v/>
      </c>
      <c r="B236" s="48" t="str">
        <f>IF(COUNTBLANK(A236),"",VLOOKUP(A236,BAR!A:I,9,FALSE))</f>
        <v/>
      </c>
    </row>
    <row r="237" spans="1:2">
      <c r="A237" s="49" t="str" cm="1">
        <f t="array" ref="A237">IFERROR(INDEX(BAR!A:A,SMALL(IF((LEFT(BAR!A$2:A$1048576,3)="SRT")+(LEFT(BAR!A$2:A$1048576,3)="PAS")+(LEFT(BAR!A$2:A$1048576,3)="Jelly"),ROW(BAR!A$2:A$1048576)),ROW()-1)),"")</f>
        <v/>
      </c>
      <c r="B237" s="48" t="str">
        <f>IF(COUNTBLANK(A237),"",VLOOKUP(A237,BAR!A:I,9,FALSE))</f>
        <v/>
      </c>
    </row>
    <row r="238" spans="1:2">
      <c r="A238" s="49" t="str" cm="1">
        <f t="array" ref="A238">IFERROR(INDEX(BAR!A:A,SMALL(IF((LEFT(BAR!A$2:A$1048576,3)="SRT")+(LEFT(BAR!A$2:A$1048576,3)="PAS")+(LEFT(BAR!A$2:A$1048576,3)="Jelly"),ROW(BAR!A$2:A$1048576)),ROW()-1)),"")</f>
        <v/>
      </c>
      <c r="B238" s="48" t="str">
        <f>IF(COUNTBLANK(A238),"",VLOOKUP(A238,BAR!A:I,9,FALSE))</f>
        <v/>
      </c>
    </row>
    <row r="239" spans="1:2">
      <c r="A239" s="49" t="str" cm="1">
        <f t="array" ref="A239">IFERROR(INDEX(BAR!A:A,SMALL(IF((LEFT(BAR!A$2:A$1048576,3)="SRT")+(LEFT(BAR!A$2:A$1048576,3)="PAS")+(LEFT(BAR!A$2:A$1048576,3)="Jelly"),ROW(BAR!A$2:A$1048576)),ROW()-1)),"")</f>
        <v/>
      </c>
      <c r="B239" s="48" t="str">
        <f>IF(COUNTBLANK(A239),"",VLOOKUP(A239,BAR!A:I,9,FALSE))</f>
        <v/>
      </c>
    </row>
    <row r="240" spans="1:2">
      <c r="A240" s="49" t="str" cm="1">
        <f t="array" ref="A240">IFERROR(INDEX(BAR!A:A,SMALL(IF((LEFT(BAR!A$2:A$1048576,3)="SRT")+(LEFT(BAR!A$2:A$1048576,3)="PAS")+(LEFT(BAR!A$2:A$1048576,3)="Jelly"),ROW(BAR!A$2:A$1048576)),ROW()-1)),"")</f>
        <v/>
      </c>
      <c r="B240" s="48" t="str">
        <f>IF(COUNTBLANK(A240),"",VLOOKUP(A240,BAR!A:I,9,FALSE))</f>
        <v/>
      </c>
    </row>
    <row r="241" spans="1:2">
      <c r="A241" s="49" t="str" cm="1">
        <f t="array" ref="A241">IFERROR(INDEX(BAR!A:A,SMALL(IF((LEFT(BAR!A$2:A$1048576,3)="SRT")+(LEFT(BAR!A$2:A$1048576,3)="PAS")+(LEFT(BAR!A$2:A$1048576,3)="Jelly"),ROW(BAR!A$2:A$1048576)),ROW()-1)),"")</f>
        <v/>
      </c>
      <c r="B241" s="48" t="str">
        <f>IF(COUNTBLANK(A241),"",VLOOKUP(A241,BAR!A:I,9,FALSE))</f>
        <v/>
      </c>
    </row>
    <row r="242" spans="1:2">
      <c r="A242" s="49" t="str" cm="1">
        <f t="array" ref="A242">IFERROR(INDEX(BAR!A:A,SMALL(IF((LEFT(BAR!A$2:A$1048576,3)="SRT")+(LEFT(BAR!A$2:A$1048576,3)="PAS")+(LEFT(BAR!A$2:A$1048576,3)="Jelly"),ROW(BAR!A$2:A$1048576)),ROW()-1)),"")</f>
        <v/>
      </c>
      <c r="B242" s="48" t="str">
        <f>IF(COUNTBLANK(A242),"",VLOOKUP(A242,BAR!A:I,9,FALSE))</f>
        <v/>
      </c>
    </row>
    <row r="243" spans="1:2">
      <c r="A243" s="49" t="str" cm="1">
        <f t="array" ref="A243">IFERROR(INDEX(BAR!A:A,SMALL(IF((LEFT(BAR!A$2:A$1048576,3)="SRT")+(LEFT(BAR!A$2:A$1048576,3)="PAS")+(LEFT(BAR!A$2:A$1048576,3)="Jelly"),ROW(BAR!A$2:A$1048576)),ROW()-1)),"")</f>
        <v/>
      </c>
      <c r="B243" s="48" t="str">
        <f>IF(COUNTBLANK(A243),"",VLOOKUP(A243,BAR!A:I,9,FALSE))</f>
        <v/>
      </c>
    </row>
    <row r="244" spans="1:2">
      <c r="A244" s="49" t="str" cm="1">
        <f t="array" ref="A244">IFERROR(INDEX(BAR!A:A,SMALL(IF((LEFT(BAR!A$2:A$1048576,3)="SRT")+(LEFT(BAR!A$2:A$1048576,3)="PAS")+(LEFT(BAR!A$2:A$1048576,3)="Jelly"),ROW(BAR!A$2:A$1048576)),ROW()-1)),"")</f>
        <v/>
      </c>
      <c r="B244" s="48" t="str">
        <f>IF(COUNTBLANK(A244),"",VLOOKUP(A244,BAR!A:I,9,FALSE))</f>
        <v/>
      </c>
    </row>
    <row r="245" spans="1:2">
      <c r="A245" s="49" t="str" cm="1">
        <f t="array" ref="A245">IFERROR(INDEX(BAR!A:A,SMALL(IF((LEFT(BAR!A$2:A$1048576,3)="SRT")+(LEFT(BAR!A$2:A$1048576,3)="PAS")+(LEFT(BAR!A$2:A$1048576,3)="Jelly"),ROW(BAR!A$2:A$1048576)),ROW()-1)),"")</f>
        <v/>
      </c>
      <c r="B245" s="48" t="str">
        <f>IF(COUNTBLANK(A245),"",VLOOKUP(A245,BAR!A:I,9,FALSE))</f>
        <v/>
      </c>
    </row>
    <row r="246" spans="1:2">
      <c r="A246" s="49" t="str" cm="1">
        <f t="array" ref="A246">IFERROR(INDEX(BAR!A:A,SMALL(IF((LEFT(BAR!A$2:A$1048576,3)="SRT")+(LEFT(BAR!A$2:A$1048576,3)="PAS")+(LEFT(BAR!A$2:A$1048576,3)="Jelly"),ROW(BAR!A$2:A$1048576)),ROW()-1)),"")</f>
        <v/>
      </c>
      <c r="B246" s="48" t="str">
        <f>IF(COUNTBLANK(A246),"",VLOOKUP(A246,BAR!A:I,9,FALSE))</f>
        <v/>
      </c>
    </row>
    <row r="247" spans="1:2">
      <c r="A247" s="49" t="str" cm="1">
        <f t="array" ref="A247">IFERROR(INDEX(BAR!A:A,SMALL(IF((LEFT(BAR!A$2:A$1048576,3)="SRT")+(LEFT(BAR!A$2:A$1048576,3)="PAS")+(LEFT(BAR!A$2:A$1048576,3)="Jelly"),ROW(BAR!A$2:A$1048576)),ROW()-1)),"")</f>
        <v/>
      </c>
      <c r="B247" s="48" t="str">
        <f>IF(COUNTBLANK(A247),"",VLOOKUP(A247,BAR!A:I,9,FALSE))</f>
        <v/>
      </c>
    </row>
    <row r="248" spans="1:2">
      <c r="A248" s="49" t="str" cm="1">
        <f t="array" ref="A248">IFERROR(INDEX(BAR!A:A,SMALL(IF((LEFT(BAR!A$2:A$1048576,3)="SRT")+(LEFT(BAR!A$2:A$1048576,3)="PAS")+(LEFT(BAR!A$2:A$1048576,3)="Jelly"),ROW(BAR!A$2:A$1048576)),ROW()-1)),"")</f>
        <v/>
      </c>
      <c r="B248" s="48" t="str">
        <f>IF(COUNTBLANK(A248),"",VLOOKUP(A248,BAR!A:I,9,FALSE))</f>
        <v/>
      </c>
    </row>
    <row r="249" spans="1:2">
      <c r="A249" s="49" t="str" cm="1">
        <f t="array" ref="A249">IFERROR(INDEX(BAR!A:A,SMALL(IF((LEFT(BAR!A$2:A$1048576,3)="SRT")+(LEFT(BAR!A$2:A$1048576,3)="PAS")+(LEFT(BAR!A$2:A$1048576,3)="Jelly"),ROW(BAR!A$2:A$1048576)),ROW()-1)),"")</f>
        <v/>
      </c>
      <c r="B249" s="48" t="str">
        <f>IF(COUNTBLANK(A249),"",VLOOKUP(A249,BAR!A:I,9,FALSE))</f>
        <v/>
      </c>
    </row>
    <row r="250" spans="1:2">
      <c r="A250" s="49" t="str" cm="1">
        <f t="array" ref="A250">IFERROR(INDEX(BAR!A:A,SMALL(IF((LEFT(BAR!A$2:A$1048576,3)="SRT")+(LEFT(BAR!A$2:A$1048576,3)="PAS")+(LEFT(BAR!A$2:A$1048576,3)="Jelly"),ROW(BAR!A$2:A$1048576)),ROW()-1)),"")</f>
        <v/>
      </c>
      <c r="B250" s="48" t="str">
        <f>IF(COUNTBLANK(A250),"",VLOOKUP(A250,BAR!A:I,9,FALSE))</f>
        <v/>
      </c>
    </row>
    <row r="251" spans="1:2">
      <c r="A251" s="48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00"/>
  <sheetViews>
    <sheetView workbookViewId="0">
      <selection activeCell="B2" sqref="B2"/>
    </sheetView>
  </sheetViews>
  <sheetFormatPr baseColWidth="10" defaultColWidth="11" defaultRowHeight="15"/>
  <cols>
    <col min="1" max="1" width="13.83203125" customWidth="1"/>
  </cols>
  <sheetData>
    <row r="1" spans="1:2">
      <c r="A1" s="1" t="s">
        <v>0</v>
      </c>
      <c r="B1" s="1" t="s">
        <v>1</v>
      </c>
    </row>
    <row r="2" spans="1:2">
      <c r="A2" t="str" cm="1">
        <f t="array" ref="A2">IFERROR(INDEX(BAR!A:A,SMALL(IF((LEFT(BAR!A$2:A$1048576,3)="SRT")+(LEFT(BAR!A$2:A$1048576,3)="PAS"),ROW(BAR!A$2:A$1048576)),ROW()-1)),"")</f>
        <v>SRTFC04020001</v>
      </c>
      <c r="B2" t="str">
        <f>IF(COUNTBLANK(A2),"",IF(ISBLANK(VLOOKUP(A2,BAR!A:I,8,FALSE)),"",VLOOKUP(A2,BAR!A:I,8,FALSE)))</f>
        <v>5 (test)</v>
      </c>
    </row>
    <row r="3" spans="1:2">
      <c r="A3" t="str" cm="1">
        <f t="array" ref="A3">IFERROR(INDEX(BAR!A:A,SMALL(IF((LEFT(BAR!A$2:A$1048576,3)="SRT")+(LEFT(BAR!A$2:A$1048576,3)="PAS"),ROW(BAR!A$2:A$1048576)),ROW()-1)),"")</f>
        <v>SRTFC04020045</v>
      </c>
      <c r="B3" t="str">
        <f>IF(COUNTBLANK(A3),"",IF(ISBLANK(VLOOKUP(A3,BAR!A:I,8,FALSE)),"",VLOOKUP(A3,BAR!A:I,8,FALSE)))</f>
        <v/>
      </c>
    </row>
    <row r="4" spans="1:2">
      <c r="A4" t="str" cm="1">
        <f t="array" ref="A4">IFERROR(INDEX(BAR!A:A,SMALL(IF((LEFT(BAR!A$2:A$1048576,3)="SRT")+(LEFT(BAR!A$2:A$1048576,3)="PAS"),ROW(BAR!A$2:A$1048576)),ROW()-1)),"")</f>
        <v>SRTFC04020117</v>
      </c>
      <c r="B4" t="str">
        <f>IF(COUNTBLANK(A4),"",IF(ISBLANK(VLOOKUP(A4,BAR!A:I,8,FALSE)),"",VLOOKUP(A4,BAR!A:I,8,FALSE)))</f>
        <v/>
      </c>
    </row>
    <row r="5" spans="1:2">
      <c r="A5" t="str" cm="1">
        <f t="array" ref="A5">IFERROR(INDEX(BAR!A:A,SMALL(IF((LEFT(BAR!A$2:A$1048576,3)="SRT")+(LEFT(BAR!A$2:A$1048576,3)="PAS"),ROW(BAR!A$2:A$1048576)),ROW()-1)),"")</f>
        <v>SRTFC04020118</v>
      </c>
      <c r="B5" t="str">
        <f>IF(COUNTBLANK(A5),"",IF(ISBLANK(VLOOKUP(A5,BAR!A:I,8,FALSE)),"",VLOOKUP(A5,BAR!A:I,8,FALSE)))</f>
        <v/>
      </c>
    </row>
    <row r="6" spans="1:2">
      <c r="A6" t="str" cm="1">
        <f t="array" ref="A6">IFERROR(INDEX(BAR!A:A,SMALL(IF((LEFT(BAR!A$2:A$1048576,3)="SRT")+(LEFT(BAR!A$2:A$1048576,3)="PAS"),ROW(BAR!A$2:A$1048576)),ROW()-1)),"")</f>
        <v>SRTFC04020022</v>
      </c>
      <c r="B6" t="str">
        <f>IF(COUNTBLANK(A6),"",IF(ISBLANK(VLOOKUP(A6,BAR!A:I,8,FALSE)),"",VLOOKUP(A6,BAR!A:I,8,FALSE)))</f>
        <v/>
      </c>
    </row>
    <row r="7" spans="1:2">
      <c r="A7" t="str" cm="1">
        <f t="array" ref="A7">IFERROR(INDEX(BAR!A:A,SMALL(IF((LEFT(BAR!A$2:A$1048576,3)="SRT")+(LEFT(BAR!A$2:A$1048576,3)="PAS"),ROW(BAR!A$2:A$1048576)),ROW()-1)),"")</f>
        <v>SRTFC04020043</v>
      </c>
      <c r="B7" t="str">
        <f>IF(COUNTBLANK(A7),"",IF(ISBLANK(VLOOKUP(A7,BAR!A:I,8,FALSE)),"",VLOOKUP(A7,BAR!A:I,8,FALSE)))</f>
        <v/>
      </c>
    </row>
    <row r="8" spans="1:2">
      <c r="A8" t="str" cm="1">
        <f t="array" ref="A8">IFERROR(INDEX(BAR!A:A,SMALL(IF((LEFT(BAR!A$2:A$1048576,3)="SRT")+(LEFT(BAR!A$2:A$1048576,3)="PAS"),ROW(BAR!A$2:A$1048576)),ROW()-1)),"")</f>
        <v>SRTFC04020071</v>
      </c>
      <c r="B8" t="str">
        <f>IF(COUNTBLANK(A8),"",IF(ISBLANK(VLOOKUP(A8,BAR!A:I,8,FALSE)),"",VLOOKUP(A8,BAR!A:I,8,FALSE)))</f>
        <v/>
      </c>
    </row>
    <row r="9" spans="1:2">
      <c r="A9" t="str" cm="1">
        <f t="array" ref="A9">IFERROR(INDEX(BAR!A:A,SMALL(IF((LEFT(BAR!A$2:A$1048576,3)="SRT")+(LEFT(BAR!A$2:A$1048576,3)="PAS"),ROW(BAR!A$2:A$1048576)),ROW()-1)),"")</f>
        <v>SRTFD04020018</v>
      </c>
      <c r="B9" t="str">
        <f>IF(COUNTBLANK(A9),"",IF(ISBLANK(VLOOKUP(A9,BAR!A:I,8,FALSE)),"",VLOOKUP(A9,BAR!A:I,8,FALSE)))</f>
        <v/>
      </c>
    </row>
    <row r="10" spans="1:2">
      <c r="A10" t="str" cm="1">
        <f t="array" ref="A10">IFERROR(INDEX(BAR!A:A,SMALL(IF((LEFT(BAR!A$2:A$1048576,3)="SRT")+(LEFT(BAR!A$2:A$1048576,3)="PAS"),ROW(BAR!A$2:A$1048576)),ROW()-1)),"")</f>
        <v>SRTFD04010002</v>
      </c>
      <c r="B10" t="str">
        <f>IF(COUNTBLANK(A10),"",IF(ISBLANK(VLOOKUP(A10,BAR!A:I,8,FALSE)),"",VLOOKUP(A10,BAR!A:I,8,FALSE)))</f>
        <v/>
      </c>
    </row>
    <row r="11" spans="1:2">
      <c r="A11" t="str" cm="1">
        <f t="array" ref="A11">IFERROR(INDEX(BAR!A:A,SMALL(IF((LEFT(BAR!A$2:A$1048576,3)="SRT")+(LEFT(BAR!A$2:A$1048576,3)="PAS"),ROW(BAR!A$2:A$1048576)),ROW()-1)),"")</f>
        <v>SRTFD04020041</v>
      </c>
      <c r="B11" t="str">
        <f>IF(COUNTBLANK(A11),"",IF(ISBLANK(VLOOKUP(A11,BAR!A:I,8,FALSE)),"",VLOOKUP(A11,BAR!A:I,8,FALSE)))</f>
        <v/>
      </c>
    </row>
    <row r="12" spans="1:2">
      <c r="A12" t="str" cm="1">
        <f t="array" ref="A12">IFERROR(INDEX(BAR!A:A,SMALL(IF((LEFT(BAR!A$2:A$1048576,3)="SRT")+(LEFT(BAR!A$2:A$1048576,3)="PAS"),ROW(BAR!A$2:A$1048576)),ROW()-1)),"")</f>
        <v>SRTFD04020027</v>
      </c>
      <c r="B12" t="str">
        <f>IF(COUNTBLANK(A12),"",IF(ISBLANK(VLOOKUP(A12,BAR!A:I,8,FALSE)),"",VLOOKUP(A12,BAR!A:I,8,FALSE)))</f>
        <v/>
      </c>
    </row>
    <row r="13" spans="1:2">
      <c r="A13" t="str" cm="1">
        <f t="array" ref="A13">IFERROR(INDEX(BAR!A:A,SMALL(IF((LEFT(BAR!A$2:A$1048576,3)="SRT")+(LEFT(BAR!A$2:A$1048576,3)="PAS"),ROW(BAR!A$2:A$1048576)),ROW()-1)),"")</f>
        <v>SRTFC04020031</v>
      </c>
      <c r="B13" t="str">
        <f>IF(COUNTBLANK(A13),"",IF(ISBLANK(VLOOKUP(A13,BAR!A:I,8,FALSE)),"",VLOOKUP(A13,BAR!A:I,8,FALSE)))</f>
        <v/>
      </c>
    </row>
    <row r="14" spans="1:2">
      <c r="A14" t="str" cm="1">
        <f t="array" ref="A14">IFERROR(INDEX(BAR!A:A,SMALL(IF((LEFT(BAR!A$2:A$1048576,3)="SRT")+(LEFT(BAR!A$2:A$1048576,3)="PAS"),ROW(BAR!A$2:A$1048576)),ROW()-1)),"")</f>
        <v>SRTFD04060015</v>
      </c>
      <c r="B14" t="str">
        <f>IF(COUNTBLANK(A14),"",IF(ISBLANK(VLOOKUP(A14,BAR!A:I,8,FALSE)),"",VLOOKUP(A14,BAR!A:I,8,FALSE)))</f>
        <v/>
      </c>
    </row>
    <row r="15" spans="1:2">
      <c r="A15" t="str" cm="1">
        <f t="array" ref="A15">IFERROR(INDEX(BAR!A:A,SMALL(IF((LEFT(BAR!A$2:A$1048576,3)="SRT")+(LEFT(BAR!A$2:A$1048576,3)="PAS"),ROW(BAR!A$2:A$1048576)),ROW()-1)),"")</f>
        <v>PASFD01010056</v>
      </c>
      <c r="B15" t="str">
        <f>IF(COUNTBLANK(A15),"",IF(ISBLANK(VLOOKUP(A15,BAR!A:I,8,FALSE)),"",VLOOKUP(A15,BAR!A:I,8,FALSE)))</f>
        <v/>
      </c>
    </row>
    <row r="16" spans="1:2">
      <c r="A16" t="str" cm="1">
        <f t="array" ref="A16">IFERROR(INDEX(BAR!A:A,SMALL(IF((LEFT(BAR!A$2:A$1048576,3)="SRT")+(LEFT(BAR!A$2:A$1048576,3)="PAS"),ROW(BAR!A$2:A$1048576)),ROW()-1)),"")</f>
        <v>SRTFD08020036</v>
      </c>
      <c r="B16" t="str">
        <f>IF(COUNTBLANK(A16),"",IF(ISBLANK(VLOOKUP(A16,BAR!A:I,8,FALSE)),"",VLOOKUP(A16,BAR!A:I,8,FALSE)))</f>
        <v/>
      </c>
    </row>
    <row r="17" spans="1:2">
      <c r="A17" t="str" cm="1">
        <f t="array" ref="A17">IFERROR(INDEX(BAR!A:A,SMALL(IF((LEFT(BAR!A$2:A$1048576,3)="SRT")+(LEFT(BAR!A$2:A$1048576,3)="PAS"),ROW(BAR!A$2:A$1048576)),ROW()-1)),"")</f>
        <v>SRTFD08020035</v>
      </c>
      <c r="B17" t="str">
        <f>IF(COUNTBLANK(A17),"",IF(ISBLANK(VLOOKUP(A17,BAR!A:I,8,FALSE)),"",VLOOKUP(A17,BAR!A:I,8,FALSE)))</f>
        <v/>
      </c>
    </row>
    <row r="18" spans="1:2">
      <c r="A18" t="str" cm="1">
        <f t="array" ref="A18">IFERROR(INDEX(BAR!A:A,SMALL(IF((LEFT(BAR!A$2:A$1048576,3)="SRT")+(LEFT(BAR!A$2:A$1048576,3)="PAS"),ROW(BAR!A$2:A$1048576)),ROW()-1)),"")</f>
        <v>SRTFD08020037</v>
      </c>
      <c r="B18" t="str">
        <f>IF(COUNTBLANK(A18),"",IF(ISBLANK(VLOOKUP(A18,BAR!A:I,8,FALSE)),"",VLOOKUP(A18,BAR!A:I,8,FALSE)))</f>
        <v/>
      </c>
    </row>
    <row r="19" spans="1:2">
      <c r="A19" t="str" cm="1">
        <f t="array" ref="A19">IFERROR(INDEX(BAR!A:A,SMALL(IF((LEFT(BAR!A$2:A$1048576,3)="SRT")+(LEFT(BAR!A$2:A$1048576,3)="PAS"),ROW(BAR!A$2:A$1048576)),ROW()-1)),"")</f>
        <v>SRTFD07030002</v>
      </c>
      <c r="B19" t="str">
        <f>IF(COUNTBLANK(A19),"",IF(ISBLANK(VLOOKUP(A19,BAR!A:I,8,FALSE)),"",VLOOKUP(A19,BAR!A:I,8,FALSE)))</f>
        <v/>
      </c>
    </row>
    <row r="20" spans="1:2">
      <c r="A20" t="str" cm="1">
        <f t="array" ref="A20">IFERROR(INDEX(BAR!A:A,SMALL(IF((LEFT(BAR!A$2:A$1048576,3)="SRT")+(LEFT(BAR!A$2:A$1048576,3)="PAS"),ROW(BAR!A$2:A$1048576)),ROW()-1)),"")</f>
        <v>SRTFC07030003</v>
      </c>
      <c r="B20" t="str">
        <f>IF(COUNTBLANK(A20),"",IF(ISBLANK(VLOOKUP(A20,BAR!A:I,8,FALSE)),"",VLOOKUP(A20,BAR!A:I,8,FALSE)))</f>
        <v/>
      </c>
    </row>
    <row r="21" spans="1:2">
      <c r="A21" t="str" cm="1">
        <f t="array" ref="A21">IFERROR(INDEX(BAR!A:A,SMALL(IF((LEFT(BAR!A$2:A$1048576,3)="SRT")+(LEFT(BAR!A$2:A$1048576,3)="PAS"),ROW(BAR!A$2:A$1048576)),ROW()-1)),"")</f>
        <v>SRTFC07020001</v>
      </c>
      <c r="B21" t="str">
        <f>IF(COUNTBLANK(A21),"",IF(ISBLANK(VLOOKUP(A21,BAR!A:I,8,FALSE)),"",VLOOKUP(A21,BAR!A:I,8,FALSE)))</f>
        <v/>
      </c>
    </row>
    <row r="22" spans="1:2">
      <c r="A22" t="str" cm="1">
        <f t="array" ref="A22">IFERROR(INDEX(BAR!A:A,SMALL(IF((LEFT(BAR!A$2:A$1048576,3)="SRT")+(LEFT(BAR!A$2:A$1048576,3)="PAS"),ROW(BAR!A$2:A$1048576)),ROW()-1)),"")</f>
        <v>SRTFC07020008</v>
      </c>
      <c r="B22" t="str">
        <f>IF(COUNTBLANK(A22),"",IF(ISBLANK(VLOOKUP(A22,BAR!A:I,8,FALSE)),"",VLOOKUP(A22,BAR!A:I,8,FALSE)))</f>
        <v/>
      </c>
    </row>
    <row r="23" spans="1:2">
      <c r="A23" t="str" cm="1">
        <f t="array" ref="A23">IFERROR(INDEX(BAR!A:A,SMALL(IF((LEFT(BAR!A$2:A$1048576,3)="SRT")+(LEFT(BAR!A$2:A$1048576,3)="PAS"),ROW(BAR!A$2:A$1048576)),ROW()-1)),"")</f>
        <v>SRTFC07020018</v>
      </c>
      <c r="B23" t="str">
        <f>IF(COUNTBLANK(A23),"",IF(ISBLANK(VLOOKUP(A23,BAR!A:I,8,FALSE)),"",VLOOKUP(A23,BAR!A:I,8,FALSE)))</f>
        <v/>
      </c>
    </row>
    <row r="24" spans="1:2">
      <c r="A24" t="str" cm="1">
        <f t="array" ref="A24">IFERROR(INDEX(BAR!A:A,SMALL(IF((LEFT(BAR!A$2:A$1048576,3)="SRT")+(LEFT(BAR!A$2:A$1048576,3)="PAS"),ROW(BAR!A$2:A$1048576)),ROW()-1)),"")</f>
        <v>SRTFC07020026</v>
      </c>
      <c r="B24" t="str">
        <f>IF(COUNTBLANK(A24),"",IF(ISBLANK(VLOOKUP(A24,BAR!A:I,8,FALSE)),"",VLOOKUP(A24,BAR!A:I,8,FALSE)))</f>
        <v/>
      </c>
    </row>
    <row r="25" spans="1:2">
      <c r="A25" t="str" cm="1">
        <f t="array" ref="A25">IFERROR(INDEX(BAR!A:A,SMALL(IF((LEFT(BAR!A$2:A$1048576,3)="SRT")+(LEFT(BAR!A$2:A$1048576,3)="PAS"),ROW(BAR!A$2:A$1048576)),ROW()-1)),"")</f>
        <v>SRTFD01010002</v>
      </c>
      <c r="B25" t="str">
        <f>IF(COUNTBLANK(A25),"",IF(ISBLANK(VLOOKUP(A25,BAR!A:I,8,FALSE)),"",VLOOKUP(A25,BAR!A:I,8,FALSE)))</f>
        <v/>
      </c>
    </row>
    <row r="26" spans="1:2">
      <c r="A26" t="str" cm="1">
        <f t="array" ref="A26">IFERROR(INDEX(BAR!A:A,SMALL(IF((LEFT(BAR!A$2:A$1048576,3)="SRT")+(LEFT(BAR!A$2:A$1048576,3)="PAS"),ROW(BAR!A$2:A$1048576)),ROW()-1)),"")</f>
        <v>SRTFD01060002</v>
      </c>
      <c r="B26" t="str">
        <f>IF(COUNTBLANK(A26),"",IF(ISBLANK(VLOOKUP(A26,BAR!A:I,8,FALSE)),"",VLOOKUP(A26,BAR!A:I,8,FALSE)))</f>
        <v/>
      </c>
    </row>
    <row r="27" spans="1:2">
      <c r="A27" t="str" cm="1">
        <f t="array" ref="A27">IFERROR(INDEX(BAR!A:A,SMALL(IF((LEFT(BAR!A$2:A$1048576,3)="SRT")+(LEFT(BAR!A$2:A$1048576,3)="PAS"),ROW(BAR!A$2:A$1048576)),ROW()-1)),"")</f>
        <v>SRTFD01040015</v>
      </c>
      <c r="B27" t="str">
        <f>IF(COUNTBLANK(A27),"",IF(ISBLANK(VLOOKUP(A27,BAR!A:I,8,FALSE)),"",VLOOKUP(A27,BAR!A:I,8,FALSE)))</f>
        <v/>
      </c>
    </row>
    <row r="28" spans="1:2">
      <c r="A28" t="str" cm="1">
        <f t="array" ref="A28">IFERROR(INDEX(BAR!A:A,SMALL(IF((LEFT(BAR!A$2:A$1048576,3)="SRT")+(LEFT(BAR!A$2:A$1048576,3)="PAS"),ROW(BAR!A$2:A$1048576)),ROW()-1)),"")</f>
        <v>SRTFD01050031</v>
      </c>
      <c r="B28" t="str">
        <f>IF(COUNTBLANK(A28),"",IF(ISBLANK(VLOOKUP(A28,BAR!A:I,8,FALSE)),"",VLOOKUP(A28,BAR!A:I,8,FALSE)))</f>
        <v/>
      </c>
    </row>
    <row r="29" spans="1:2">
      <c r="A29" t="str" cm="1">
        <f t="array" ref="A29">IFERROR(INDEX(BAR!A:A,SMALL(IF((LEFT(BAR!A$2:A$1048576,3)="SRT")+(LEFT(BAR!A$2:A$1048576,3)="PAS"),ROW(BAR!A$2:A$1048576)),ROW()-1)),"")</f>
        <v>SRTFD01030018</v>
      </c>
      <c r="B29" t="str">
        <f>IF(COUNTBLANK(A29),"",IF(ISBLANK(VLOOKUP(A29,BAR!A:I,8,FALSE)),"",VLOOKUP(A29,BAR!A:I,8,FALSE)))</f>
        <v/>
      </c>
    </row>
    <row r="30" spans="1:2">
      <c r="A30" t="str" cm="1">
        <f t="array" ref="A30">IFERROR(INDEX(BAR!A:A,SMALL(IF((LEFT(BAR!A$2:A$1048576,3)="SRT")+(LEFT(BAR!A$2:A$1048576,3)="PAS"),ROW(BAR!A$2:A$1048576)),ROW()-1)),"")</f>
        <v>SRTFD01030028</v>
      </c>
      <c r="B30" t="str">
        <f>IF(COUNTBLANK(A30),"",IF(ISBLANK(VLOOKUP(A30,BAR!A:I,8,FALSE)),"",VLOOKUP(A30,BAR!A:I,8,FALSE)))</f>
        <v/>
      </c>
    </row>
    <row r="31" spans="1:2">
      <c r="A31" t="str" cm="1">
        <f t="array" ref="A31">IFERROR(INDEX(BAR!A:A,SMALL(IF((LEFT(BAR!A$2:A$1048576,3)="SRT")+(LEFT(BAR!A$2:A$1048576,3)="PAS"),ROW(BAR!A$2:A$1048576)),ROW()-1)),"")</f>
        <v>SRTFD01050027</v>
      </c>
      <c r="B31" t="str">
        <f>IF(COUNTBLANK(A31),"",IF(ISBLANK(VLOOKUP(A31,BAR!A:I,8,FALSE)),"",VLOOKUP(A31,BAR!A:I,8,FALSE)))</f>
        <v/>
      </c>
    </row>
    <row r="32" spans="1:2">
      <c r="A32" t="str" cm="1">
        <f t="array" ref="A32">IFERROR(INDEX(BAR!A:A,SMALL(IF((LEFT(BAR!A$2:A$1048576,3)="SRT")+(LEFT(BAR!A$2:A$1048576,3)="PAS"),ROW(BAR!A$2:A$1048576)),ROW()-1)),"")</f>
        <v>SRTFD03040027</v>
      </c>
      <c r="B32" t="str">
        <f>IF(COUNTBLANK(A32),"",IF(ISBLANK(VLOOKUP(A32,BAR!A:I,8,FALSE)),"",VLOOKUP(A32,BAR!A:I,8,FALSE)))</f>
        <v/>
      </c>
    </row>
    <row r="33" spans="1:2">
      <c r="A33" t="str" cm="1">
        <f t="array" ref="A33">IFERROR(INDEX(BAR!A:A,SMALL(IF((LEFT(BAR!A$2:A$1048576,3)="SRT")+(LEFT(BAR!A$2:A$1048576,3)="PAS"),ROW(BAR!A$2:A$1048576)),ROW()-1)),"")</f>
        <v>SRTFD03020030</v>
      </c>
      <c r="B33" t="str">
        <f>IF(COUNTBLANK(A33),"",IF(ISBLANK(VLOOKUP(A33,BAR!A:I,8,FALSE)),"",VLOOKUP(A33,BAR!A:I,8,FALSE)))</f>
        <v/>
      </c>
    </row>
    <row r="34" spans="1:2">
      <c r="A34" t="str" cm="1">
        <f t="array" ref="A34">IFERROR(INDEX(BAR!A:A,SMALL(IF((LEFT(BAR!A$2:A$1048576,3)="SRT")+(LEFT(BAR!A$2:A$1048576,3)="PAS"),ROW(BAR!A$2:A$1048576)),ROW()-1)),"")</f>
        <v>SRTFD03020011</v>
      </c>
      <c r="B34" t="str">
        <f>IF(COUNTBLANK(A34),"",IF(ISBLANK(VLOOKUP(A34,BAR!A:I,8,FALSE)),"",VLOOKUP(A34,BAR!A:I,8,FALSE)))</f>
        <v/>
      </c>
    </row>
    <row r="35" spans="1:2">
      <c r="A35" t="str" cm="1">
        <f t="array" ref="A35">IFERROR(INDEX(BAR!A:A,SMALL(IF((LEFT(BAR!A$2:A$1048576,3)="SRT")+(LEFT(BAR!A$2:A$1048576,3)="PAS"),ROW(BAR!A$2:A$1048576)),ROW()-1)),"")</f>
        <v>SRTFD03020009</v>
      </c>
      <c r="B35" t="str">
        <f>IF(COUNTBLANK(A35),"",IF(ISBLANK(VLOOKUP(A35,BAR!A:I,8,FALSE)),"",VLOOKUP(A35,BAR!A:I,8,FALSE)))</f>
        <v/>
      </c>
    </row>
    <row r="36" spans="1:2">
      <c r="A36" t="str" cm="1">
        <f t="array" ref="A36">IFERROR(INDEX(BAR!A:A,SMALL(IF((LEFT(BAR!A$2:A$1048576,3)="SRT")+(LEFT(BAR!A$2:A$1048576,3)="PAS"),ROW(BAR!A$2:A$1048576)),ROW()-1)),"")</f>
        <v>SRTFD03020012</v>
      </c>
      <c r="B36" t="str">
        <f>IF(COUNTBLANK(A36),"",IF(ISBLANK(VLOOKUP(A36,BAR!A:I,8,FALSE)),"",VLOOKUP(A36,BAR!A:I,8,FALSE)))</f>
        <v/>
      </c>
    </row>
    <row r="37" spans="1:2">
      <c r="A37" t="str" cm="1">
        <f t="array" ref="A37">IFERROR(INDEX(BAR!A:A,SMALL(IF((LEFT(BAR!A$2:A$1048576,3)="SRT")+(LEFT(BAR!A$2:A$1048576,3)="PAS"),ROW(BAR!A$2:A$1048576)),ROW()-1)),"")</f>
        <v>SRTFD03040023</v>
      </c>
      <c r="B37" t="str">
        <f>IF(COUNTBLANK(A37),"",IF(ISBLANK(VLOOKUP(A37,BAR!A:I,8,FALSE)),"",VLOOKUP(A37,BAR!A:I,8,FALSE)))</f>
        <v/>
      </c>
    </row>
    <row r="38" spans="1:2">
      <c r="A38" t="str" cm="1">
        <f t="array" ref="A38">IFERROR(INDEX(BAR!A:A,SMALL(IF((LEFT(BAR!A$2:A$1048576,3)="SRT")+(LEFT(BAR!A$2:A$1048576,3)="PAS"),ROW(BAR!A$2:A$1048576)),ROW()-1)),"")</f>
        <v>SRTFD04070021</v>
      </c>
      <c r="B38" t="str">
        <f>IF(COUNTBLANK(A38),"",IF(ISBLANK(VLOOKUP(A38,BAR!A:I,8,FALSE)),"",VLOOKUP(A38,BAR!A:I,8,FALSE)))</f>
        <v/>
      </c>
    </row>
    <row r="39" spans="1:2">
      <c r="A39" t="str" cm="1">
        <f t="array" ref="A39">IFERROR(INDEX(BAR!A:A,SMALL(IF((LEFT(BAR!A$2:A$1048576,3)="SRT")+(LEFT(BAR!A$2:A$1048576,3)="PAS"),ROW(BAR!A$2:A$1048576)),ROW()-1)),"")</f>
        <v>SRTFD04070028</v>
      </c>
      <c r="B39" t="str">
        <f>IF(COUNTBLANK(A39),"",IF(ISBLANK(VLOOKUP(A39,BAR!A:I,8,FALSE)),"",VLOOKUP(A39,BAR!A:I,8,FALSE)))</f>
        <v/>
      </c>
    </row>
    <row r="40" spans="1:2">
      <c r="A40" t="str" cm="1">
        <f t="array" ref="A40">IFERROR(INDEX(BAR!A:A,SMALL(IF((LEFT(BAR!A$2:A$1048576,3)="SRT")+(LEFT(BAR!A$2:A$1048576,3)="PAS"),ROW(BAR!A$2:A$1048576)),ROW()-1)),"")</f>
        <v>SRTFD03040031</v>
      </c>
      <c r="B40" t="str">
        <f>IF(COUNTBLANK(A40),"",IF(ISBLANK(VLOOKUP(A40,BAR!A:I,8,FALSE)),"",VLOOKUP(A40,BAR!A:I,8,FALSE)))</f>
        <v/>
      </c>
    </row>
    <row r="41" spans="1:2">
      <c r="A41" t="str" cm="1">
        <f t="array" ref="A41">IFERROR(INDEX(BAR!A:A,SMALL(IF((LEFT(BAR!A$2:A$1048576,3)="SRT")+(LEFT(BAR!A$2:A$1048576,3)="PAS"),ROW(BAR!A$2:A$1048576)),ROW()-1)),"")</f>
        <v>SRTFD03020050</v>
      </c>
      <c r="B41" t="str">
        <f>IF(COUNTBLANK(A41),"",IF(ISBLANK(VLOOKUP(A41,BAR!A:I,8,FALSE)),"",VLOOKUP(A41,BAR!A:I,8,FALSE)))</f>
        <v/>
      </c>
    </row>
    <row r="42" spans="1:2">
      <c r="A42" t="str" cm="1">
        <f t="array" ref="A42">IFERROR(INDEX(BAR!A:A,SMALL(IF((LEFT(BAR!A$2:A$1048576,3)="SRT")+(LEFT(BAR!A$2:A$1048576,3)="PAS"),ROW(BAR!A$2:A$1048576)),ROW()-1)),"")</f>
        <v>SRTFD03020049</v>
      </c>
      <c r="B42" t="str">
        <f>IF(COUNTBLANK(A42),"",IF(ISBLANK(VLOOKUP(A42,BAR!A:I,8,FALSE)),"",VLOOKUP(A42,BAR!A:I,8,FALSE)))</f>
        <v/>
      </c>
    </row>
    <row r="43" spans="1:2">
      <c r="A43" t="str" cm="1">
        <f t="array" ref="A43">IFERROR(INDEX(BAR!A:A,SMALL(IF((LEFT(BAR!A$2:A$1048576,3)="SRT")+(LEFT(BAR!A$2:A$1048576,3)="PAS"),ROW(BAR!A$2:A$1048576)),ROW()-1)),"")</f>
        <v>SRTFD03020045</v>
      </c>
      <c r="B43" t="str">
        <f>IF(COUNTBLANK(A43),"",IF(ISBLANK(VLOOKUP(A43,BAR!A:I,8,FALSE)),"",VLOOKUP(A43,BAR!A:I,8,FALSE)))</f>
        <v/>
      </c>
    </row>
    <row r="44" spans="1:2">
      <c r="A44" t="str" cm="1">
        <f t="array" ref="A44">IFERROR(INDEX(BAR!A:A,SMALL(IF((LEFT(BAR!A$2:A$1048576,3)="SRT")+(LEFT(BAR!A$2:A$1048576,3)="PAS"),ROW(BAR!A$2:A$1048576)),ROW()-1)),"")</f>
        <v>SRTFD04070030</v>
      </c>
      <c r="B44" t="str">
        <f>IF(COUNTBLANK(A44),"",IF(ISBLANK(VLOOKUP(A44,BAR!A:I,8,FALSE)),"",VLOOKUP(A44,BAR!A:I,8,FALSE)))</f>
        <v/>
      </c>
    </row>
    <row r="45" spans="1:2">
      <c r="A45" t="str" cm="1">
        <f t="array" ref="A45">IFERROR(INDEX(BAR!A:A,SMALL(IF((LEFT(BAR!A$2:A$1048576,3)="SRT")+(LEFT(BAR!A$2:A$1048576,3)="PAS"),ROW(BAR!A$2:A$1048576)),ROW()-1)),"")</f>
        <v>SRTFD03040039</v>
      </c>
      <c r="B45" t="str">
        <f>IF(COUNTBLANK(A45),"",IF(ISBLANK(VLOOKUP(A45,BAR!A:I,8,FALSE)),"",VLOOKUP(A45,BAR!A:I,8,FALSE)))</f>
        <v/>
      </c>
    </row>
    <row r="46" spans="1:2">
      <c r="A46" t="str" cm="1">
        <f t="array" ref="A46">IFERROR(INDEX(BAR!A:A,SMALL(IF((LEFT(BAR!A$2:A$1048576,3)="SRT")+(LEFT(BAR!A$2:A$1048576,3)="PAS"),ROW(BAR!A$2:A$1048576)),ROW()-1)),"")</f>
        <v>SRTFD03020055</v>
      </c>
      <c r="B46" t="str">
        <f>IF(COUNTBLANK(A46),"",IF(ISBLANK(VLOOKUP(A46,BAR!A:I,8,FALSE)),"",VLOOKUP(A46,BAR!A:I,8,FALSE)))</f>
        <v/>
      </c>
    </row>
    <row r="47" spans="1:2">
      <c r="A47" t="str" cm="1">
        <f t="array" ref="A47">IFERROR(INDEX(BAR!A:A,SMALL(IF((LEFT(BAR!A$2:A$1048576,3)="SRT")+(LEFT(BAR!A$2:A$1048576,3)="PAS"),ROW(BAR!A$2:A$1048576)),ROW()-1)),"")</f>
        <v>SRTFD03020034</v>
      </c>
      <c r="B47" t="str">
        <f>IF(COUNTBLANK(A47),"",IF(ISBLANK(VLOOKUP(A47,BAR!A:I,8,FALSE)),"",VLOOKUP(A47,BAR!A:I,8,FALSE)))</f>
        <v/>
      </c>
    </row>
    <row r="48" spans="1:2">
      <c r="A48" t="str" cm="1">
        <f t="array" ref="A48">IFERROR(INDEX(BAR!A:A,SMALL(IF((LEFT(BAR!A$2:A$1048576,3)="SRT")+(LEFT(BAR!A$2:A$1048576,3)="PAS"),ROW(BAR!A$2:A$1048576)),ROW()-1)),"")</f>
        <v>SRTFD05010111</v>
      </c>
      <c r="B48" t="str">
        <f>IF(COUNTBLANK(A48),"",IF(ISBLANK(VLOOKUP(A48,BAR!A:I,8,FALSE)),"",VLOOKUP(A48,BAR!A:I,8,FALSE)))</f>
        <v/>
      </c>
    </row>
    <row r="49" spans="1:2">
      <c r="A49" t="str" cm="1">
        <f t="array" ref="A49">IFERROR(INDEX(BAR!A:A,SMALL(IF((LEFT(BAR!A$2:A$1048576,3)="SRT")+(LEFT(BAR!A$2:A$1048576,3)="PAS"),ROW(BAR!A$2:A$1048576)),ROW()-1)),"")</f>
        <v>SRTFD03020056</v>
      </c>
      <c r="B49" t="str">
        <f>IF(COUNTBLANK(A49),"",IF(ISBLANK(VLOOKUP(A49,BAR!A:I,8,FALSE)),"",VLOOKUP(A49,BAR!A:I,8,FALSE)))</f>
        <v/>
      </c>
    </row>
    <row r="50" spans="1:2">
      <c r="A50" t="str" cm="1">
        <f t="array" ref="A50">IFERROR(INDEX(BAR!A:A,SMALL(IF((LEFT(BAR!A$2:A$1048576,3)="SRT")+(LEFT(BAR!A$2:A$1048576,3)="PAS"),ROW(BAR!A$2:A$1048576)),ROW()-1)),"")</f>
        <v>SRTFD04020049</v>
      </c>
      <c r="B50" t="str">
        <f>IF(COUNTBLANK(A50),"",IF(ISBLANK(VLOOKUP(A50,BAR!A:I,8,FALSE)),"",VLOOKUP(A50,BAR!A:I,8,FALSE)))</f>
        <v/>
      </c>
    </row>
    <row r="51" spans="1:2">
      <c r="A51" t="str" cm="1">
        <f t="array" ref="A51">IFERROR(INDEX(BAR!A:A,SMALL(IF((LEFT(BAR!A$2:A$1048576,3)="SRT")+(LEFT(BAR!A$2:A$1048576,3)="PAS"),ROW(BAR!A$2:A$1048576)),ROW()-1)),"")</f>
        <v>SRTFD01050021</v>
      </c>
      <c r="B51" t="str">
        <f>IF(COUNTBLANK(A51),"",IF(ISBLANK(VLOOKUP(A51,BAR!A:I,8,FALSE)),"",VLOOKUP(A51,BAR!A:I,8,FALSE)))</f>
        <v/>
      </c>
    </row>
    <row r="52" spans="1:2">
      <c r="A52" t="str" cm="1">
        <f t="array" ref="A52">IFERROR(INDEX(BAR!A:A,SMALL(IF((LEFT(BAR!A$2:A$1048576,3)="SRT")+(LEFT(BAR!A$2:A$1048576,3)="PAS"),ROW(BAR!A$2:A$1048576)),ROW()-1)),"")</f>
        <v>SRTFD01050020</v>
      </c>
      <c r="B52" t="str">
        <f>IF(COUNTBLANK(A52),"",IF(ISBLANK(VLOOKUP(A52,BAR!A:I,8,FALSE)),"",VLOOKUP(A52,BAR!A:I,8,FALSE)))</f>
        <v/>
      </c>
    </row>
    <row r="53" spans="1:2">
      <c r="A53" t="str" cm="1">
        <f t="array" ref="A53">IFERROR(INDEX(BAR!A:A,SMALL(IF((LEFT(BAR!A$2:A$1048576,3)="SRT")+(LEFT(BAR!A$2:A$1048576,3)="PAS"),ROW(BAR!A$2:A$1048576)),ROW()-1)),"")</f>
        <v>SRTFD01050022</v>
      </c>
      <c r="B53" t="str">
        <f>IF(COUNTBLANK(A53),"",IF(ISBLANK(VLOOKUP(A53,BAR!A:I,8,FALSE)),"",VLOOKUP(A53,BAR!A:I,8,FALSE)))</f>
        <v/>
      </c>
    </row>
    <row r="54" spans="1:2">
      <c r="A54" t="str" cm="1">
        <f t="array" ref="A54">IFERROR(INDEX(BAR!A:A,SMALL(IF((LEFT(BAR!A$2:A$1048576,3)="SRT")+(LEFT(BAR!A$2:A$1048576,3)="PAS"),ROW(BAR!A$2:A$1048576)),ROW()-1)),"")</f>
        <v>SRTFD01050040</v>
      </c>
      <c r="B54" t="str">
        <f>IF(COUNTBLANK(A54),"",IF(ISBLANK(VLOOKUP(A54,BAR!A:I,8,FALSE)),"",VLOOKUP(A54,BAR!A:I,8,FALSE)))</f>
        <v/>
      </c>
    </row>
    <row r="55" spans="1:2">
      <c r="A55" t="str" cm="1">
        <f t="array" ref="A55">IFERROR(INDEX(BAR!A:A,SMALL(IF((LEFT(BAR!A$2:A$1048576,3)="SRT")+(LEFT(BAR!A$2:A$1048576,3)="PAS"),ROW(BAR!A$2:A$1048576)),ROW()-1)),"")</f>
        <v>SRTFD01050030</v>
      </c>
      <c r="B55" t="str">
        <f>IF(COUNTBLANK(A55),"",IF(ISBLANK(VLOOKUP(A55,BAR!A:I,8,FALSE)),"",VLOOKUP(A55,BAR!A:I,8,FALSE)))</f>
        <v/>
      </c>
    </row>
    <row r="56" spans="1:2">
      <c r="A56" t="str" cm="1">
        <f t="array" ref="A56">IFERROR(INDEX(BAR!A:A,SMALL(IF((LEFT(BAR!A$2:A$1048576,3)="SRT")+(LEFT(BAR!A$2:A$1048576,3)="PAS"),ROW(BAR!A$2:A$1048576)),ROW()-1)),"")</f>
        <v>SRTFD01020041</v>
      </c>
      <c r="B56" t="str">
        <f>IF(COUNTBLANK(A56),"",IF(ISBLANK(VLOOKUP(A56,BAR!A:I,8,FALSE)),"",VLOOKUP(A56,BAR!A:I,8,FALSE)))</f>
        <v/>
      </c>
    </row>
    <row r="57" spans="1:2">
      <c r="A57" t="str" cm="1">
        <f t="array" ref="A57">IFERROR(INDEX(BAR!A:A,SMALL(IF((LEFT(BAR!A$2:A$1048576,3)="SRT")+(LEFT(BAR!A$2:A$1048576,3)="PAS"),ROW(BAR!A$2:A$1048576)),ROW()-1)),"")</f>
        <v>SRTFD01020042</v>
      </c>
      <c r="B57" t="str">
        <f>IF(COUNTBLANK(A57),"",IF(ISBLANK(VLOOKUP(A57,BAR!A:I,8,FALSE)),"",VLOOKUP(A57,BAR!A:I,8,FALSE)))</f>
        <v/>
      </c>
    </row>
    <row r="58" spans="1:2">
      <c r="A58" t="str" cm="1">
        <f t="array" ref="A58">IFERROR(INDEX(BAR!A:A,SMALL(IF((LEFT(BAR!A$2:A$1048576,3)="SRT")+(LEFT(BAR!A$2:A$1048576,3)="PAS"),ROW(BAR!A$2:A$1048576)),ROW()-1)),"")</f>
        <v>SRTFD01020043</v>
      </c>
      <c r="B58" t="str">
        <f>IF(COUNTBLANK(A58),"",IF(ISBLANK(VLOOKUP(A58,BAR!A:I,8,FALSE)),"",VLOOKUP(A58,BAR!A:I,8,FALSE)))</f>
        <v/>
      </c>
    </row>
    <row r="59" spans="1:2">
      <c r="A59" t="str" cm="1">
        <f t="array" ref="A59">IFERROR(INDEX(BAR!A:A,SMALL(IF((LEFT(BAR!A$2:A$1048576,3)="SRT")+(LEFT(BAR!A$2:A$1048576,3)="PAS"),ROW(BAR!A$2:A$1048576)),ROW()-1)),"")</f>
        <v>SRTFD01030012</v>
      </c>
      <c r="B59" t="str">
        <f>IF(COUNTBLANK(A59),"",IF(ISBLANK(VLOOKUP(A59,BAR!A:I,8,FALSE)),"",VLOOKUP(A59,BAR!A:I,8,FALSE)))</f>
        <v/>
      </c>
    </row>
    <row r="60" spans="1:2">
      <c r="A60" t="str" cm="1">
        <f t="array" ref="A60">IFERROR(INDEX(BAR!A:A,SMALL(IF((LEFT(BAR!A$2:A$1048576,3)="SRT")+(LEFT(BAR!A$2:A$1048576,3)="PAS"),ROW(BAR!A$2:A$1048576)),ROW()-1)),"")</f>
        <v>SRTFD01070004</v>
      </c>
      <c r="B60" t="str">
        <f>IF(COUNTBLANK(A60),"",IF(ISBLANK(VLOOKUP(A60,BAR!A:I,8,FALSE)),"",VLOOKUP(A60,BAR!A:I,8,FALSE)))</f>
        <v/>
      </c>
    </row>
    <row r="61" spans="1:2">
      <c r="A61" t="str" cm="1">
        <f t="array" ref="A61">IFERROR(INDEX(BAR!A:A,SMALL(IF((LEFT(BAR!A$2:A$1048576,3)="SRT")+(LEFT(BAR!A$2:A$1048576,3)="PAS"),ROW(BAR!A$2:A$1048576)),ROW()-1)),"")</f>
        <v>SRTFD01070027</v>
      </c>
      <c r="B61" t="str">
        <f>IF(COUNTBLANK(A61),"",IF(ISBLANK(VLOOKUP(A61,BAR!A:I,8,FALSE)),"",VLOOKUP(A61,BAR!A:I,8,FALSE)))</f>
        <v/>
      </c>
    </row>
    <row r="62" spans="1:2">
      <c r="A62" t="str" cm="1">
        <f t="array" ref="A62">IFERROR(INDEX(BAR!A:A,SMALL(IF((LEFT(BAR!A$2:A$1048576,3)="SRT")+(LEFT(BAR!A$2:A$1048576,3)="PAS"),ROW(BAR!A$2:A$1048576)),ROW()-1)),"")</f>
        <v>SRTFD01070074</v>
      </c>
      <c r="B62" t="str">
        <f>IF(COUNTBLANK(A62),"",IF(ISBLANK(VLOOKUP(A62,BAR!A:I,8,FALSE)),"",VLOOKUP(A62,BAR!A:I,8,FALSE)))</f>
        <v/>
      </c>
    </row>
    <row r="63" spans="1:2">
      <c r="A63" t="str" cm="1">
        <f t="array" ref="A63">IFERROR(INDEX(BAR!A:A,SMALL(IF((LEFT(BAR!A$2:A$1048576,3)="SRT")+(LEFT(BAR!A$2:A$1048576,3)="PAS"),ROW(BAR!A$2:A$1048576)),ROW()-1)),"")</f>
        <v>SRTFD01070050</v>
      </c>
      <c r="B63" t="str">
        <f>IF(COUNTBLANK(A63),"",IF(ISBLANK(VLOOKUP(A63,BAR!A:I,8,FALSE)),"",VLOOKUP(A63,BAR!A:I,8,FALSE)))</f>
        <v/>
      </c>
    </row>
    <row r="64" spans="1:2">
      <c r="A64" t="str" cm="1">
        <f t="array" ref="A64">IFERROR(INDEX(BAR!A:A,SMALL(IF((LEFT(BAR!A$2:A$1048576,3)="SRT")+(LEFT(BAR!A$2:A$1048576,3)="PAS"),ROW(BAR!A$2:A$1048576)),ROW()-1)),"")</f>
        <v>SRTFD01070051</v>
      </c>
      <c r="B64" t="str">
        <f>IF(COUNTBLANK(A64),"",IF(ISBLANK(VLOOKUP(A64,BAR!A:I,8,FALSE)),"",VLOOKUP(A64,BAR!A:I,8,FALSE)))</f>
        <v/>
      </c>
    </row>
    <row r="65" spans="1:2">
      <c r="A65" t="str" cm="1">
        <f t="array" ref="A65">IFERROR(INDEX(BAR!A:A,SMALL(IF((LEFT(BAR!A$2:A$1048576,3)="SRT")+(LEFT(BAR!A$2:A$1048576,3)="PAS"),ROW(BAR!A$2:A$1048576)),ROW()-1)),"")</f>
        <v>SRTFD01070062</v>
      </c>
      <c r="B65" t="str">
        <f>IF(COUNTBLANK(A65),"",IF(ISBLANK(VLOOKUP(A65,BAR!A:I,8,FALSE)),"",VLOOKUP(A65,BAR!A:I,8,FALSE)))</f>
        <v/>
      </c>
    </row>
    <row r="66" spans="1:2">
      <c r="A66" t="str" cm="1">
        <f t="array" ref="A66">IFERROR(INDEX(BAR!A:A,SMALL(IF((LEFT(BAR!A$2:A$1048576,3)="SRT")+(LEFT(BAR!A$2:A$1048576,3)="PAS"),ROW(BAR!A$2:A$1048576)),ROW()-1)),"")</f>
        <v>SRTFD01070077</v>
      </c>
      <c r="B66" t="str">
        <f>IF(COUNTBLANK(A66),"",IF(ISBLANK(VLOOKUP(A66,BAR!A:I,8,FALSE)),"",VLOOKUP(A66,BAR!A:I,8,FALSE)))</f>
        <v/>
      </c>
    </row>
    <row r="67" spans="1:2">
      <c r="A67" t="str" cm="1">
        <f t="array" ref="A67">IFERROR(INDEX(BAR!A:A,SMALL(IF((LEFT(BAR!A$2:A$1048576,3)="SRT")+(LEFT(BAR!A$2:A$1048576,3)="PAS"),ROW(BAR!A$2:A$1048576)),ROW()-1)),"")</f>
        <v>SRTFD01070078</v>
      </c>
      <c r="B67" t="str">
        <f>IF(COUNTBLANK(A67),"",IF(ISBLANK(VLOOKUP(A67,BAR!A:I,8,FALSE)),"",VLOOKUP(A67,BAR!A:I,8,FALSE)))</f>
        <v/>
      </c>
    </row>
    <row r="68" spans="1:2">
      <c r="A68" t="str" cm="1">
        <f t="array" ref="A68">IFERROR(INDEX(BAR!A:A,SMALL(IF((LEFT(BAR!A$2:A$1048576,3)="SRT")+(LEFT(BAR!A$2:A$1048576,3)="PAS"),ROW(BAR!A$2:A$1048576)),ROW()-1)),"")</f>
        <v>SRTFD04070006</v>
      </c>
      <c r="B68" t="str">
        <f>IF(COUNTBLANK(A68),"",IF(ISBLANK(VLOOKUP(A68,BAR!A:I,8,FALSE)),"",VLOOKUP(A68,BAR!A:I,8,FALSE)))</f>
        <v/>
      </c>
    </row>
    <row r="69" spans="1:2">
      <c r="A69" t="str" cm="1">
        <f t="array" ref="A69">IFERROR(INDEX(BAR!A:A,SMALL(IF((LEFT(BAR!A$2:A$1048576,3)="SRT")+(LEFT(BAR!A$2:A$1048576,3)="PAS"),ROW(BAR!A$2:A$1048576)),ROW()-1)),"")</f>
        <v>SRTFD04080039</v>
      </c>
      <c r="B69" t="str">
        <f>IF(COUNTBLANK(A69),"",IF(ISBLANK(VLOOKUP(A69,BAR!A:I,8,FALSE)),"",VLOOKUP(A69,BAR!A:I,8,FALSE)))</f>
        <v/>
      </c>
    </row>
    <row r="70" spans="1:2">
      <c r="A70" t="str" cm="1">
        <f t="array" ref="A70">IFERROR(INDEX(BAR!A:A,SMALL(IF((LEFT(BAR!A$2:A$1048576,3)="SRT")+(LEFT(BAR!A$2:A$1048576,3)="PAS"),ROW(BAR!A$2:A$1048576)),ROW()-1)),"")</f>
        <v>SRTND04020279</v>
      </c>
      <c r="B70" t="str">
        <f>IF(COUNTBLANK(A70),"",IF(ISBLANK(VLOOKUP(A70,BAR!A:I,8,FALSE)),"",VLOOKUP(A70,BAR!A:I,8,FALSE)))</f>
        <v/>
      </c>
    </row>
    <row r="71" spans="1:2">
      <c r="A71" t="str" cm="1">
        <f t="array" ref="A71">IFERROR(INDEX(BAR!A:A,SMALL(IF((LEFT(BAR!A$2:A$1048576,3)="SRT")+(LEFT(BAR!A$2:A$1048576,3)="PAS"),ROW(BAR!A$2:A$1048576)),ROW()-1)),"")</f>
        <v>SRTND04020375</v>
      </c>
      <c r="B71" t="str">
        <f>IF(COUNTBLANK(A71),"",IF(ISBLANK(VLOOKUP(A71,BAR!A:I,8,FALSE)),"",VLOOKUP(A71,BAR!A:I,8,FALSE)))</f>
        <v/>
      </c>
    </row>
    <row r="72" spans="1:2">
      <c r="A72" t="str" cm="1">
        <f t="array" ref="A72">IFERROR(INDEX(BAR!A:A,SMALL(IF((LEFT(BAR!A$2:A$1048576,3)="SRT")+(LEFT(BAR!A$2:A$1048576,3)="PAS"),ROW(BAR!A$2:A$1048576)),ROW()-1)),"")</f>
        <v>SRTND04020348</v>
      </c>
      <c r="B72" t="str">
        <f>IF(COUNTBLANK(A72),"",IF(ISBLANK(VLOOKUP(A72,BAR!A:I,8,FALSE)),"",VLOOKUP(A72,BAR!A:I,8,FALSE)))</f>
        <v/>
      </c>
    </row>
    <row r="73" spans="1:2">
      <c r="A73" t="str" cm="1">
        <f t="array" ref="A73">IFERROR(INDEX(BAR!A:A,SMALL(IF((LEFT(BAR!A$2:A$1048576,3)="SRT")+(LEFT(BAR!A$2:A$1048576,3)="PAS"),ROW(BAR!A$2:A$1048576)),ROW()-1)),"")</f>
        <v>SRTND04020349</v>
      </c>
      <c r="B73" t="str">
        <f>IF(COUNTBLANK(A73),"",IF(ISBLANK(VLOOKUP(A73,BAR!A:I,8,FALSE)),"",VLOOKUP(A73,BAR!A:I,8,FALSE)))</f>
        <v/>
      </c>
    </row>
    <row r="74" spans="1:2">
      <c r="A74" t="str" cm="1">
        <f t="array" ref="A74">IFERROR(INDEX(BAR!A:A,SMALL(IF((LEFT(BAR!A$2:A$1048576,3)="SRT")+(LEFT(BAR!A$2:A$1048576,3)="PAS"),ROW(BAR!A$2:A$1048576)),ROW()-1)),"")</f>
        <v>SRTND04020350</v>
      </c>
      <c r="B74" t="str">
        <f>IF(COUNTBLANK(A74),"",IF(ISBLANK(VLOOKUP(A74,BAR!A:I,8,FALSE)),"",VLOOKUP(A74,BAR!A:I,8,FALSE)))</f>
        <v/>
      </c>
    </row>
    <row r="75" spans="1:2">
      <c r="A75" t="str" cm="1">
        <f t="array" ref="A75">IFERROR(INDEX(BAR!A:A,SMALL(IF((LEFT(BAR!A$2:A$1048576,3)="SRT")+(LEFT(BAR!A$2:A$1048576,3)="PAS"),ROW(BAR!A$2:A$1048576)),ROW()-1)),"")</f>
        <v>SRTND04020378</v>
      </c>
      <c r="B75" t="str">
        <f>IF(COUNTBLANK(A75),"",IF(ISBLANK(VLOOKUP(A75,BAR!A:I,8,FALSE)),"",VLOOKUP(A75,BAR!A:I,8,FALSE)))</f>
        <v/>
      </c>
    </row>
    <row r="76" spans="1:2">
      <c r="A76" t="str" cm="1">
        <f t="array" ref="A76">IFERROR(INDEX(BAR!A:A,SMALL(IF((LEFT(BAR!A$2:A$1048576,3)="SRT")+(LEFT(BAR!A$2:A$1048576,3)="PAS"),ROW(BAR!A$2:A$1048576)),ROW()-1)),"")</f>
        <v>SRTND04020002</v>
      </c>
      <c r="B76" t="str">
        <f>IF(COUNTBLANK(A76),"",IF(ISBLANK(VLOOKUP(A76,BAR!A:I,8,FALSE)),"",VLOOKUP(A76,BAR!A:I,8,FALSE)))</f>
        <v/>
      </c>
    </row>
    <row r="77" spans="1:2">
      <c r="A77" t="str" cm="1">
        <f t="array" ref="A77">IFERROR(INDEX(BAR!A:A,SMALL(IF((LEFT(BAR!A$2:A$1048576,3)="SRT")+(LEFT(BAR!A$2:A$1048576,3)="PAS"),ROW(BAR!A$2:A$1048576)),ROW()-1)),"")</f>
        <v>SRTND04020085</v>
      </c>
      <c r="B77" t="str">
        <f>IF(COUNTBLANK(A77),"",IF(ISBLANK(VLOOKUP(A77,BAR!A:I,8,FALSE)),"",VLOOKUP(A77,BAR!A:I,8,FALSE)))</f>
        <v/>
      </c>
    </row>
    <row r="78" spans="1:2">
      <c r="A78" t="str" cm="1">
        <f t="array" ref="A78">IFERROR(INDEX(BAR!A:A,SMALL(IF((LEFT(BAR!A$2:A$1048576,3)="SRT")+(LEFT(BAR!A$2:A$1048576,3)="PAS"),ROW(BAR!A$2:A$1048576)),ROW()-1)),"")</f>
        <v>SRTND04030276</v>
      </c>
      <c r="B78" t="str">
        <f>IF(COUNTBLANK(A78),"",IF(ISBLANK(VLOOKUP(A78,BAR!A:I,8,FALSE)),"",VLOOKUP(A78,BAR!A:I,8,FALSE)))</f>
        <v/>
      </c>
    </row>
    <row r="79" spans="1:2">
      <c r="A79" t="str" cm="1">
        <f t="array" ref="A79">IFERROR(INDEX(BAR!A:A,SMALL(IF((LEFT(BAR!A$2:A$1048576,3)="SRT")+(LEFT(BAR!A$2:A$1048576,3)="PAS"),ROW(BAR!A$2:A$1048576)),ROW()-1)),"")</f>
        <v>SRTND04030277</v>
      </c>
      <c r="B79" t="str">
        <f>IF(COUNTBLANK(A79),"",IF(ISBLANK(VLOOKUP(A79,BAR!A:I,8,FALSE)),"",VLOOKUP(A79,BAR!A:I,8,FALSE)))</f>
        <v/>
      </c>
    </row>
    <row r="80" spans="1:2">
      <c r="A80" t="str" cm="1">
        <f t="array" ref="A80">IFERROR(INDEX(BAR!A:A,SMALL(IF((LEFT(BAR!A$2:A$1048576,3)="SRT")+(LEFT(BAR!A$2:A$1048576,3)="PAS"),ROW(BAR!A$2:A$1048576)),ROW()-1)),"")</f>
        <v>SRTND04030278</v>
      </c>
      <c r="B80" t="str">
        <f>IF(COUNTBLANK(A80),"",IF(ISBLANK(VLOOKUP(A80,BAR!A:I,8,FALSE)),"",VLOOKUP(A80,BAR!A:I,8,FALSE)))</f>
        <v/>
      </c>
    </row>
    <row r="81" spans="1:2">
      <c r="A81" t="str" cm="1">
        <f t="array" ref="A81">IFERROR(INDEX(BAR!A:A,SMALL(IF((LEFT(BAR!A$2:A$1048576,3)="SRT")+(LEFT(BAR!A$2:A$1048576,3)="PAS"),ROW(BAR!A$2:A$1048576)),ROW()-1)),"")</f>
        <v>SRTND04030279</v>
      </c>
      <c r="B81" t="str">
        <f>IF(COUNTBLANK(A81),"",IF(ISBLANK(VLOOKUP(A81,BAR!A:I,8,FALSE)),"",VLOOKUP(A81,BAR!A:I,8,FALSE)))</f>
        <v/>
      </c>
    </row>
    <row r="82" spans="1:2">
      <c r="A82" t="str" cm="1">
        <f t="array" ref="A82">IFERROR(INDEX(BAR!A:A,SMALL(IF((LEFT(BAR!A$2:A$1048576,3)="SRT")+(LEFT(BAR!A$2:A$1048576,3)="PAS"),ROW(BAR!A$2:A$1048576)),ROW()-1)),"")</f>
        <v>SRTND04030236</v>
      </c>
      <c r="B82" t="str">
        <f>IF(COUNTBLANK(A82),"",IF(ISBLANK(VLOOKUP(A82,BAR!A:I,8,FALSE)),"",VLOOKUP(A82,BAR!A:I,8,FALSE)))</f>
        <v/>
      </c>
    </row>
    <row r="83" spans="1:2">
      <c r="A83" t="str" cm="1">
        <f t="array" ref="A83">IFERROR(INDEX(BAR!A:A,SMALL(IF((LEFT(BAR!A$2:A$1048576,3)="SRT")+(LEFT(BAR!A$2:A$1048576,3)="PAS"),ROW(BAR!A$2:A$1048576)),ROW()-1)),"")</f>
        <v>SRTND04030237</v>
      </c>
      <c r="B83" t="str">
        <f>IF(COUNTBLANK(A83),"",IF(ISBLANK(VLOOKUP(A83,BAR!A:I,8,FALSE)),"",VLOOKUP(A83,BAR!A:I,8,FALSE)))</f>
        <v/>
      </c>
    </row>
    <row r="84" spans="1:2">
      <c r="A84" t="str" cm="1">
        <f t="array" ref="A84">IFERROR(INDEX(BAR!A:A,SMALL(IF((LEFT(BAR!A$2:A$1048576,3)="SRT")+(LEFT(BAR!A$2:A$1048576,3)="PAS"),ROW(BAR!A$2:A$1048576)),ROW()-1)),"")</f>
        <v>SRTND04030238</v>
      </c>
      <c r="B84" t="str">
        <f>IF(COUNTBLANK(A84),"",IF(ISBLANK(VLOOKUP(A84,BAR!A:I,8,FALSE)),"",VLOOKUP(A84,BAR!A:I,8,FALSE)))</f>
        <v/>
      </c>
    </row>
    <row r="85" spans="1:2">
      <c r="A85" t="str" cm="1">
        <f t="array" ref="A85">IFERROR(INDEX(BAR!A:A,SMALL(IF((LEFT(BAR!A$2:A$1048576,3)="SRT")+(LEFT(BAR!A$2:A$1048576,3)="PAS"),ROW(BAR!A$2:A$1048576)),ROW()-1)),"")</f>
        <v>SRTFD04010032</v>
      </c>
      <c r="B85" t="str">
        <f>IF(COUNTBLANK(A85),"",IF(ISBLANK(VLOOKUP(A85,BAR!A:I,8,FALSE)),"",VLOOKUP(A85,BAR!A:I,8,FALSE)))</f>
        <v/>
      </c>
    </row>
    <row r="86" spans="1:2">
      <c r="A86" t="str" cm="1">
        <f t="array" ref="A86">IFERROR(INDEX(BAR!A:A,SMALL(IF((LEFT(BAR!A$2:A$1048576,3)="SRT")+(LEFT(BAR!A$2:A$1048576,3)="PAS"),ROW(BAR!A$2:A$1048576)),ROW()-1)),"")</f>
        <v>SRTFD04010031</v>
      </c>
      <c r="B86" t="str">
        <f>IF(COUNTBLANK(A86),"",IF(ISBLANK(VLOOKUP(A86,BAR!A:I,8,FALSE)),"",VLOOKUP(A86,BAR!A:I,8,FALSE)))</f>
        <v/>
      </c>
    </row>
    <row r="87" spans="1:2">
      <c r="A87" t="str" cm="1">
        <f t="array" ref="A87">IFERROR(INDEX(BAR!A:A,SMALL(IF((LEFT(BAR!A$2:A$1048576,3)="SRT")+(LEFT(BAR!A$2:A$1048576,3)="PAS"),ROW(BAR!A$2:A$1048576)),ROW()-1)),"")</f>
        <v>SRTFD09020006</v>
      </c>
      <c r="B87" t="str">
        <f>IF(COUNTBLANK(A87),"",IF(ISBLANK(VLOOKUP(A87,BAR!A:I,8,FALSE)),"",VLOOKUP(A87,BAR!A:I,8,FALSE)))</f>
        <v/>
      </c>
    </row>
    <row r="88" spans="1:2">
      <c r="A88" t="str" cm="1">
        <f t="array" ref="A88">IFERROR(INDEX(BAR!A:A,SMALL(IF((LEFT(BAR!A$2:A$1048576,3)="SRT")+(LEFT(BAR!A$2:A$1048576,3)="PAS"),ROW(BAR!A$2:A$1048576)),ROW()-1)),"")</f>
        <v>SRTFD09020007</v>
      </c>
      <c r="B88" t="str">
        <f>IF(COUNTBLANK(A88),"",IF(ISBLANK(VLOOKUP(A88,BAR!A:I,8,FALSE)),"",VLOOKUP(A88,BAR!A:I,8,FALSE)))</f>
        <v/>
      </c>
    </row>
    <row r="89" spans="1:2">
      <c r="A89" t="str" cm="1">
        <f t="array" ref="A89">IFERROR(INDEX(BAR!A:A,SMALL(IF((LEFT(BAR!A$2:A$1048576,3)="SRT")+(LEFT(BAR!A$2:A$1048576,3)="PAS"),ROW(BAR!A$2:A$1048576)),ROW()-1)),"")</f>
        <v>SRTFC04020055</v>
      </c>
      <c r="B89" t="str">
        <f>IF(COUNTBLANK(A89),"",IF(ISBLANK(VLOOKUP(A89,BAR!A:I,8,FALSE)),"",VLOOKUP(A89,BAR!A:I,8,FALSE)))</f>
        <v/>
      </c>
    </row>
    <row r="90" spans="1:2">
      <c r="A90" t="str" cm="1">
        <f t="array" ref="A90">IFERROR(INDEX(BAR!A:A,SMALL(IF((LEFT(BAR!A$2:A$1048576,3)="SRT")+(LEFT(BAR!A$2:A$1048576,3)="PAS"),ROW(BAR!A$2:A$1048576)),ROW()-1)),"")</f>
        <v>SRTFC04020059</v>
      </c>
      <c r="B90" t="str">
        <f>IF(COUNTBLANK(A90),"",IF(ISBLANK(VLOOKUP(A90,BAR!A:I,8,FALSE)),"",VLOOKUP(A90,BAR!A:I,8,FALSE)))</f>
        <v/>
      </c>
    </row>
    <row r="91" spans="1:2">
      <c r="A91" t="str" cm="1">
        <f t="array" ref="A91">IFERROR(INDEX(BAR!A:A,SMALL(IF((LEFT(BAR!A$2:A$1048576,3)="SRT")+(LEFT(BAR!A$2:A$1048576,3)="PAS"),ROW(BAR!A$2:A$1048576)),ROW()-1)),"")</f>
        <v>SRTFC04020060</v>
      </c>
      <c r="B91" t="str">
        <f>IF(COUNTBLANK(A91),"",IF(ISBLANK(VLOOKUP(A91,BAR!A:I,8,FALSE)),"",VLOOKUP(A91,BAR!A:I,8,FALSE)))</f>
        <v/>
      </c>
    </row>
    <row r="92" spans="1:2">
      <c r="A92" t="str" cm="1">
        <f t="array" ref="A92">IFERROR(INDEX(BAR!A:A,SMALL(IF((LEFT(BAR!A$2:A$1048576,3)="SRT")+(LEFT(BAR!A$2:A$1048576,3)="PAS"),ROW(BAR!A$2:A$1048576)),ROW()-1)),"")</f>
        <v>SRTFD08020038</v>
      </c>
      <c r="B92" t="str">
        <f>IF(COUNTBLANK(A92),"",IF(ISBLANK(VLOOKUP(A92,BAR!A:I,8,FALSE)),"",VLOOKUP(A92,BAR!A:I,8,FALSE)))</f>
        <v/>
      </c>
    </row>
    <row r="93" spans="1:2">
      <c r="A93" t="str" cm="1">
        <f t="array" ref="A93">IFERROR(INDEX(BAR!A:A,SMALL(IF((LEFT(BAR!A$2:A$1048576,3)="SRT")+(LEFT(BAR!A$2:A$1048576,3)="PAS"),ROW(BAR!A$2:A$1048576)),ROW()-1)),"")</f>
        <v>PASFD01010102</v>
      </c>
      <c r="B93" t="str">
        <f>IF(COUNTBLANK(A93),"",IF(ISBLANK(VLOOKUP(A93,BAR!A:I,8,FALSE)),"",VLOOKUP(A93,BAR!A:I,8,FALSE)))</f>
        <v/>
      </c>
    </row>
    <row r="94" spans="1:2">
      <c r="A94" t="str" cm="1">
        <f t="array" ref="A94">IFERROR(INDEX(BAR!A:A,SMALL(IF((LEFT(BAR!A$2:A$1048576,3)="SRT")+(LEFT(BAR!A$2:A$1048576,3)="PAS"),ROW(BAR!A$2:A$1048576)),ROW()-1)),"")</f>
        <v>PASFD01010076</v>
      </c>
      <c r="B94" t="str">
        <f>IF(COUNTBLANK(A94),"",IF(ISBLANK(VLOOKUP(A94,BAR!A:I,8,FALSE)),"",VLOOKUP(A94,BAR!A:I,8,FALSE)))</f>
        <v/>
      </c>
    </row>
    <row r="95" spans="1:2">
      <c r="A95" t="str" cm="1">
        <f t="array" ref="A95">IFERROR(INDEX(BAR!A:A,SMALL(IF((LEFT(BAR!A$2:A$1048576,3)="SRT")+(LEFT(BAR!A$2:A$1048576,3)="PAS"),ROW(BAR!A$2:A$1048576)),ROW()-1)),"")</f>
        <v>PASFD01010041</v>
      </c>
      <c r="B95" t="str">
        <f>IF(COUNTBLANK(A95),"",IF(ISBLANK(VLOOKUP(A95,BAR!A:I,8,FALSE)),"",VLOOKUP(A95,BAR!A:I,8,FALSE)))</f>
        <v/>
      </c>
    </row>
    <row r="96" spans="1:2">
      <c r="A96" t="str" cm="1">
        <f t="array" ref="A96">IFERROR(INDEX(BAR!A:A,SMALL(IF((LEFT(BAR!A$2:A$1048576,3)="SRT")+(LEFT(BAR!A$2:A$1048576,3)="PAS"),ROW(BAR!A$2:A$1048576)),ROW()-1)),"")</f>
        <v>SRTFD01040013</v>
      </c>
      <c r="B96" t="str">
        <f>IF(COUNTBLANK(A96),"",IF(ISBLANK(VLOOKUP(A96,BAR!A:I,8,FALSE)),"",VLOOKUP(A96,BAR!A:I,8,FALSE)))</f>
        <v/>
      </c>
    </row>
    <row r="97" spans="1:2">
      <c r="A97" t="str" cm="1">
        <f t="array" ref="A97">IFERROR(INDEX(BAR!A:A,SMALL(IF((LEFT(BAR!A$2:A$1048576,3)="SRT")+(LEFT(BAR!A$2:A$1048576,3)="PAS"),ROW(BAR!A$2:A$1048576)),ROW()-1)),"")</f>
        <v>SRTFD01040014</v>
      </c>
      <c r="B97" t="str">
        <f>IF(COUNTBLANK(A97),"",IF(ISBLANK(VLOOKUP(A97,BAR!A:I,8,FALSE)),"",VLOOKUP(A97,BAR!A:I,8,FALSE)))</f>
        <v/>
      </c>
    </row>
    <row r="98" spans="1:2">
      <c r="A98" t="str" cm="1">
        <f t="array" ref="A98">IFERROR(INDEX(BAR!A:A,SMALL(IF((LEFT(BAR!A$2:A$1048576,3)="SRT")+(LEFT(BAR!A$2:A$1048576,3)="PAS"),ROW(BAR!A$2:A$1048576)),ROW()-1)),"")</f>
        <v>SRTFD01040010</v>
      </c>
      <c r="B98" t="str">
        <f>IF(COUNTBLANK(A98),"",IF(ISBLANK(VLOOKUP(A98,BAR!A:I,8,FALSE)),"",VLOOKUP(A98,BAR!A:I,8,FALSE)))</f>
        <v/>
      </c>
    </row>
    <row r="99" spans="1:2">
      <c r="A99" t="str" cm="1">
        <f t="array" ref="A99">IFERROR(INDEX(BAR!A:A,SMALL(IF((LEFT(BAR!A$2:A$1048576,3)="SRT")+(LEFT(BAR!A$2:A$1048576,3)="PAS"),ROW(BAR!A$2:A$1048576)),ROW()-1)),"")</f>
        <v>SRTND07010472</v>
      </c>
      <c r="B99" t="str">
        <f>IF(COUNTBLANK(A99),"",IF(ISBLANK(VLOOKUP(A99,BAR!A:I,8,FALSE)),"",VLOOKUP(A99,BAR!A:I,8,FALSE)))</f>
        <v/>
      </c>
    </row>
    <row r="100" spans="1:2">
      <c r="A100" t="str" cm="1">
        <f t="array" ref="A100">IFERROR(INDEX(BAR!A:A,SMALL(IF((LEFT(BAR!A$2:A$1048576,3)="SRT")+(LEFT(BAR!A$2:A$1048576,3)="PAS"),ROW(BAR!A$2:A$1048576)),ROW()-1)),"")</f>
        <v>SRTND07010382</v>
      </c>
      <c r="B100" t="str">
        <f>IF(COUNTBLANK(A100),"",IF(ISBLANK(VLOOKUP(A100,BAR!A:I,8,FALSE)),"",VLOOKUP(A100,BAR!A:I,8,FALSE)))</f>
        <v/>
      </c>
    </row>
    <row r="101" spans="1:2">
      <c r="A101" t="str" cm="1">
        <f t="array" ref="A101">IFERROR(INDEX(BAR!A:A,SMALL(IF((LEFT(BAR!A$2:A$1048576,3)="SRT")+(LEFT(BAR!A$2:A$1048576,3)="PAS"),ROW(BAR!A$2:A$1048576)),ROW()-1)),"")</f>
        <v>SRTND07010396</v>
      </c>
      <c r="B101" t="str">
        <f>IF(COUNTBLANK(A101),"",IF(ISBLANK(VLOOKUP(A101,BAR!A:I,8,FALSE)),"",VLOOKUP(A101,BAR!A:I,8,FALSE)))</f>
        <v/>
      </c>
    </row>
    <row r="102" spans="1:2">
      <c r="A102" t="str" cm="1">
        <f t="array" ref="A102">IFERROR(INDEX(BAR!A:A,SMALL(IF((LEFT(BAR!A$2:A$1048576,3)="SRT")+(LEFT(BAR!A$2:A$1048576,3)="PAS"),ROW(BAR!A$2:A$1048576)),ROW()-1)),"")</f>
        <v>SRTND07010416</v>
      </c>
      <c r="B102" t="str">
        <f>IF(COUNTBLANK(A102),"",IF(ISBLANK(VLOOKUP(A102,BAR!A:I,8,FALSE)),"",VLOOKUP(A102,BAR!A:I,8,FALSE)))</f>
        <v/>
      </c>
    </row>
    <row r="103" spans="1:2">
      <c r="A103" t="str" cm="1">
        <f t="array" ref="A103">IFERROR(INDEX(BAR!A:A,SMALL(IF((LEFT(BAR!A$2:A$1048576,3)="SRT")+(LEFT(BAR!A$2:A$1048576,3)="PAS"),ROW(BAR!A$2:A$1048576)),ROW()-1)),"")</f>
        <v>SRTND07010401</v>
      </c>
      <c r="B103" t="str">
        <f>IF(COUNTBLANK(A103),"",IF(ISBLANK(VLOOKUP(A103,BAR!A:I,8,FALSE)),"",VLOOKUP(A103,BAR!A:I,8,FALSE)))</f>
        <v/>
      </c>
    </row>
    <row r="104" spans="1:2">
      <c r="A104" t="str" cm="1">
        <f t="array" ref="A104">IFERROR(INDEX(BAR!A:A,SMALL(IF((LEFT(BAR!A$2:A$1048576,3)="SRT")+(LEFT(BAR!A$2:A$1048576,3)="PAS"),ROW(BAR!A$2:A$1048576)),ROW()-1)),"")</f>
        <v>SRTND07010427</v>
      </c>
      <c r="B104" t="str">
        <f>IF(COUNTBLANK(A104),"",IF(ISBLANK(VLOOKUP(A104,BAR!A:I,8,FALSE)),"",VLOOKUP(A104,BAR!A:I,8,FALSE)))</f>
        <v/>
      </c>
    </row>
    <row r="105" spans="1:2">
      <c r="A105" t="str" cm="1">
        <f t="array" ref="A105">IFERROR(INDEX(BAR!A:A,SMALL(IF((LEFT(BAR!A$2:A$1048576,3)="SRT")+(LEFT(BAR!A$2:A$1048576,3)="PAS"),ROW(BAR!A$2:A$1048576)),ROW()-1)),"")</f>
        <v>SRTND07010445</v>
      </c>
      <c r="B105" t="str">
        <f>IF(COUNTBLANK(A105),"",IF(ISBLANK(VLOOKUP(A105,BAR!A:I,8,FALSE)),"",VLOOKUP(A105,BAR!A:I,8,FALSE)))</f>
        <v/>
      </c>
    </row>
    <row r="106" spans="1:2">
      <c r="A106" t="str" cm="1">
        <f t="array" ref="A106">IFERROR(INDEX(BAR!A:A,SMALL(IF((LEFT(BAR!A$2:A$1048576,3)="SRT")+(LEFT(BAR!A$2:A$1048576,3)="PAS"),ROW(BAR!A$2:A$1048576)),ROW()-1)),"")</f>
        <v>SRTND07010420</v>
      </c>
      <c r="B106" t="str">
        <f>IF(COUNTBLANK(A106),"",IF(ISBLANK(VLOOKUP(A106,BAR!A:I,8,FALSE)),"",VLOOKUP(A106,BAR!A:I,8,FALSE)))</f>
        <v/>
      </c>
    </row>
    <row r="107" spans="1:2">
      <c r="A107" t="str" cm="1">
        <f t="array" ref="A107">IFERROR(INDEX(BAR!A:A,SMALL(IF((LEFT(BAR!A$2:A$1048576,3)="SRT")+(LEFT(BAR!A$2:A$1048576,3)="PAS"),ROW(BAR!A$2:A$1048576)),ROW()-1)),"")</f>
        <v>SRTND07010430</v>
      </c>
      <c r="B107" t="str">
        <f>IF(COUNTBLANK(A107),"",IF(ISBLANK(VLOOKUP(A107,BAR!A:I,8,FALSE)),"",VLOOKUP(A107,BAR!A:I,8,FALSE)))</f>
        <v/>
      </c>
    </row>
    <row r="108" spans="1:2">
      <c r="A108" t="str" cm="1">
        <f t="array" ref="A108">IFERROR(INDEX(BAR!A:A,SMALL(IF((LEFT(BAR!A$2:A$1048576,3)="SRT")+(LEFT(BAR!A$2:A$1048576,3)="PAS"),ROW(BAR!A$2:A$1048576)),ROW()-1)),"")</f>
        <v>SRTND07010480</v>
      </c>
      <c r="B108" t="str">
        <f>IF(COUNTBLANK(A108),"",IF(ISBLANK(VLOOKUP(A108,BAR!A:I,8,FALSE)),"",VLOOKUP(A108,BAR!A:I,8,FALSE)))</f>
        <v/>
      </c>
    </row>
    <row r="109" spans="1:2">
      <c r="A109" t="str" cm="1">
        <f t="array" ref="A109">IFERROR(INDEX(BAR!A:A,SMALL(IF((LEFT(BAR!A$2:A$1048576,3)="SRT")+(LEFT(BAR!A$2:A$1048576,3)="PAS"),ROW(BAR!A$2:A$1048576)),ROW()-1)),"")</f>
        <v>SRTFD04020001</v>
      </c>
      <c r="B109" t="str">
        <f>IF(COUNTBLANK(A109),"",IF(ISBLANK(VLOOKUP(A109,BAR!A:I,8,FALSE)),"",VLOOKUP(A109,BAR!A:I,8,FALSE)))</f>
        <v/>
      </c>
    </row>
    <row r="110" spans="1:2">
      <c r="A110" t="str" cm="1">
        <f t="array" ref="A110">IFERROR(INDEX(BAR!A:A,SMALL(IF((LEFT(BAR!A$2:A$1048576,3)="SRT")+(LEFT(BAR!A$2:A$1048576,3)="PAS"),ROW(BAR!A$2:A$1048576)),ROW()-1)),"")</f>
        <v>SRTFD09010003</v>
      </c>
      <c r="B110" t="str">
        <f>IF(COUNTBLANK(A110),"",IF(ISBLANK(VLOOKUP(A110,BAR!A:I,8,FALSE)),"",VLOOKUP(A110,BAR!A:I,8,FALSE)))</f>
        <v/>
      </c>
    </row>
    <row r="111" spans="1:2">
      <c r="A111" t="str" cm="1">
        <f t="array" ref="A111">IFERROR(INDEX(BAR!A:A,SMALL(IF((LEFT(BAR!A$2:A$1048576,3)="SRT")+(LEFT(BAR!A$2:A$1048576,3)="PAS"),ROW(BAR!A$2:A$1048576)),ROW()-1)),"")</f>
        <v>SRTFD09010013</v>
      </c>
      <c r="B111" t="str">
        <f>IF(COUNTBLANK(A111),"",IF(ISBLANK(VLOOKUP(A111,BAR!A:I,8,FALSE)),"",VLOOKUP(A111,BAR!A:I,8,FALSE)))</f>
        <v/>
      </c>
    </row>
    <row r="112" spans="1:2">
      <c r="A112" t="str" cm="1">
        <f t="array" ref="A112">IFERROR(INDEX(BAR!A:A,SMALL(IF((LEFT(BAR!A$2:A$1048576,3)="SRT")+(LEFT(BAR!A$2:A$1048576,3)="PAS"),ROW(BAR!A$2:A$1048576)),ROW()-1)),"")</f>
        <v>SRTFD01070075</v>
      </c>
      <c r="B112" t="str">
        <f>IF(COUNTBLANK(A112),"",IF(ISBLANK(VLOOKUP(A112,BAR!A:I,8,FALSE)),"",VLOOKUP(A112,BAR!A:I,8,FALSE)))</f>
        <v/>
      </c>
    </row>
    <row r="113" spans="1:2">
      <c r="A113" t="str" cm="1">
        <f t="array" ref="A113">IFERROR(INDEX(BAR!A:A,SMALL(IF((LEFT(BAR!A$2:A$1048576,3)="SRT")+(LEFT(BAR!A$2:A$1048576,3)="PAS"),ROW(BAR!A$2:A$1048576)),ROW()-1)),"")</f>
        <v>SRTFD09010014</v>
      </c>
      <c r="B113" t="str">
        <f>IF(COUNTBLANK(A113),"",IF(ISBLANK(VLOOKUP(A113,BAR!A:I,8,FALSE)),"",VLOOKUP(A113,BAR!A:I,8,FALSE)))</f>
        <v/>
      </c>
    </row>
    <row r="114" spans="1:2">
      <c r="A114" t="str" cm="1">
        <f t="array" ref="A114">IFERROR(INDEX(BAR!A:A,SMALL(IF((LEFT(BAR!A$2:A$1048576,3)="SRT")+(LEFT(BAR!A$2:A$1048576,3)="PAS"),ROW(BAR!A$2:A$1048576)),ROW()-1)),"")</f>
        <v>SRTFD05050041</v>
      </c>
      <c r="B114" t="str">
        <f>IF(COUNTBLANK(A114),"",IF(ISBLANK(VLOOKUP(A114,BAR!A:I,8,FALSE)),"",VLOOKUP(A114,BAR!A:I,8,FALSE)))</f>
        <v/>
      </c>
    </row>
    <row r="115" spans="1:2">
      <c r="A115" t="str" cm="1">
        <f t="array" ref="A115">IFERROR(INDEX(BAR!A:A,SMALL(IF((LEFT(BAR!A$2:A$1048576,3)="SRT")+(LEFT(BAR!A$2:A$1048576,3)="PAS"),ROW(BAR!A$2:A$1048576)),ROW()-1)),"")</f>
        <v>SRTFF01060001</v>
      </c>
      <c r="B115" t="str">
        <f>IF(COUNTBLANK(A115),"",IF(ISBLANK(VLOOKUP(A115,BAR!A:I,8,FALSE)),"",VLOOKUP(A115,BAR!A:I,8,FALSE)))</f>
        <v/>
      </c>
    </row>
    <row r="116" spans="1:2">
      <c r="A116" t="str" cm="1">
        <f t="array" ref="A116">IFERROR(INDEX(BAR!A:A,SMALL(IF((LEFT(BAR!A$2:A$1048576,3)="SRT")+(LEFT(BAR!A$2:A$1048576,3)="PAS"),ROW(BAR!A$2:A$1048576)),ROW()-1)),"")</f>
        <v>SRTFD03030063</v>
      </c>
      <c r="B116" t="str">
        <f>IF(COUNTBLANK(A116),"",IF(ISBLANK(VLOOKUP(A116,BAR!A:I,8,FALSE)),"",VLOOKUP(A116,BAR!A:I,8,FALSE)))</f>
        <v/>
      </c>
    </row>
    <row r="117" spans="1:2">
      <c r="A117" t="str" cm="1">
        <f t="array" ref="A117">IFERROR(INDEX(BAR!A:A,SMALL(IF((LEFT(BAR!A$2:A$1048576,3)="SRT")+(LEFT(BAR!A$2:A$1048576,3)="PAS"),ROW(BAR!A$2:A$1048576)),ROW()-1)),"")</f>
        <v>SRTFD03010015</v>
      </c>
      <c r="B117" t="str">
        <f>IF(COUNTBLANK(A117),"",IF(ISBLANK(VLOOKUP(A117,BAR!A:I,8,FALSE)),"",VLOOKUP(A117,BAR!A:I,8,FALSE)))</f>
        <v/>
      </c>
    </row>
    <row r="118" spans="1:2">
      <c r="A118" t="str" cm="1">
        <f t="array" ref="A118">IFERROR(INDEX(BAR!A:A,SMALL(IF((LEFT(BAR!A$2:A$1048576,3)="SRT")+(LEFT(BAR!A$2:A$1048576,3)="PAS"),ROW(BAR!A$2:A$1048576)),ROW()-1)),"")</f>
        <v>SRTFD03010053</v>
      </c>
      <c r="B118" t="str">
        <f>IF(COUNTBLANK(A118),"",IF(ISBLANK(VLOOKUP(A118,BAR!A:I,8,FALSE)),"",VLOOKUP(A118,BAR!A:I,8,FALSE)))</f>
        <v/>
      </c>
    </row>
    <row r="119" spans="1:2">
      <c r="A119" t="str" cm="1">
        <f t="array" ref="A119">IFERROR(INDEX(BAR!A:A,SMALL(IF((LEFT(BAR!A$2:A$1048576,3)="SRT")+(LEFT(BAR!A$2:A$1048576,3)="PAS"),ROW(BAR!A$2:A$1048576)),ROW()-1)),"")</f>
        <v>SRTND04030040</v>
      </c>
      <c r="B119" t="str">
        <f>IF(COUNTBLANK(A119),"",IF(ISBLANK(VLOOKUP(A119,BAR!A:I,8,FALSE)),"",VLOOKUP(A119,BAR!A:I,8,FALSE)))</f>
        <v/>
      </c>
    </row>
    <row r="120" spans="1:2">
      <c r="A120" t="str" cm="1">
        <f t="array" ref="A120">IFERROR(INDEX(BAR!A:A,SMALL(IF((LEFT(BAR!A$2:A$1048576,3)="SRT")+(LEFT(BAR!A$2:A$1048576,3)="PAS"),ROW(BAR!A$2:A$1048576)),ROW()-1)),"")</f>
        <v>SRTND04030268</v>
      </c>
      <c r="B120" t="str">
        <f>IF(COUNTBLANK(A120),"",IF(ISBLANK(VLOOKUP(A120,BAR!A:I,8,FALSE)),"",VLOOKUP(A120,BAR!A:I,8,FALSE)))</f>
        <v/>
      </c>
    </row>
    <row r="121" spans="1:2">
      <c r="A121" t="str" cm="1">
        <f t="array" ref="A121">IFERROR(INDEX(BAR!A:A,SMALL(IF((LEFT(BAR!A$2:A$1048576,3)="SRT")+(LEFT(BAR!A$2:A$1048576,3)="PAS"),ROW(BAR!A$2:A$1048576)),ROW()-1)),"")</f>
        <v>SRTND04030090</v>
      </c>
      <c r="B121" t="str">
        <f>IF(COUNTBLANK(A121),"",IF(ISBLANK(VLOOKUP(A121,BAR!A:I,8,FALSE)),"",VLOOKUP(A121,BAR!A:I,8,FALSE)))</f>
        <v/>
      </c>
    </row>
    <row r="122" spans="1:2">
      <c r="A122" t="str" cm="1">
        <f t="array" ref="A122">IFERROR(INDEX(BAR!A:A,SMALL(IF((LEFT(BAR!A$2:A$1048576,3)="SRT")+(LEFT(BAR!A$2:A$1048576,3)="PAS"),ROW(BAR!A$2:A$1048576)),ROW()-1)),"")</f>
        <v>SRTND04030092</v>
      </c>
      <c r="B122" t="str">
        <f>IF(COUNTBLANK(A122),"",IF(ISBLANK(VLOOKUP(A122,BAR!A:I,8,FALSE)),"",VLOOKUP(A122,BAR!A:I,8,FALSE)))</f>
        <v/>
      </c>
    </row>
    <row r="123" spans="1:2">
      <c r="A123" t="str" cm="1">
        <f t="array" ref="A123">IFERROR(INDEX(BAR!A:A,SMALL(IF((LEFT(BAR!A$2:A$1048576,3)="SRT")+(LEFT(BAR!A$2:A$1048576,3)="PAS"),ROW(BAR!A$2:A$1048576)),ROW()-1)),"")</f>
        <v>SRTND04030227</v>
      </c>
      <c r="B123" t="str">
        <f>IF(COUNTBLANK(A123),"",IF(ISBLANK(VLOOKUP(A123,BAR!A:I,8,FALSE)),"",VLOOKUP(A123,BAR!A:I,8,FALSE)))</f>
        <v/>
      </c>
    </row>
    <row r="124" spans="1:2">
      <c r="A124" t="str" cm="1">
        <f t="array" ref="A124">IFERROR(INDEX(BAR!A:A,SMALL(IF((LEFT(BAR!A$2:A$1048576,3)="SRT")+(LEFT(BAR!A$2:A$1048576,3)="PAS"),ROW(BAR!A$2:A$1048576)),ROW()-1)),"")</f>
        <v>SRTND04050004</v>
      </c>
      <c r="B124" t="str">
        <f>IF(COUNTBLANK(A124),"",IF(ISBLANK(VLOOKUP(A124,BAR!A:I,8,FALSE)),"",VLOOKUP(A124,BAR!A:I,8,FALSE)))</f>
        <v/>
      </c>
    </row>
    <row r="125" spans="1:2">
      <c r="A125" t="str" cm="1">
        <f t="array" ref="A125">IFERROR(INDEX(BAR!A:A,SMALL(IF((LEFT(BAR!A$2:A$1048576,3)="SRT")+(LEFT(BAR!A$2:A$1048576,3)="PAS"),ROW(BAR!A$2:A$1048576)),ROW()-1)),"")</f>
        <v>SRTND04020373</v>
      </c>
      <c r="B125" t="str">
        <f>IF(COUNTBLANK(A125),"",IF(ISBLANK(VLOOKUP(A125,BAR!A:I,8,FALSE)),"",VLOOKUP(A125,BAR!A:I,8,FALSE)))</f>
        <v/>
      </c>
    </row>
    <row r="126" spans="1:2">
      <c r="A126" t="str" cm="1">
        <f t="array" ref="A126">IFERROR(INDEX(BAR!A:A,SMALL(IF((LEFT(BAR!A$2:A$1048576,3)="SRT")+(LEFT(BAR!A$2:A$1048576,3)="PAS"),ROW(BAR!A$2:A$1048576)),ROW()-1)),"")</f>
        <v>SRTND04020020</v>
      </c>
      <c r="B126" t="str">
        <f>IF(COUNTBLANK(A126),"",IF(ISBLANK(VLOOKUP(A126,BAR!A:I,8,FALSE)),"",VLOOKUP(A126,BAR!A:I,8,FALSE)))</f>
        <v/>
      </c>
    </row>
    <row r="127" spans="1:2">
      <c r="A127" t="str" cm="1">
        <f t="array" ref="A127">IFERROR(INDEX(BAR!A:A,SMALL(IF((LEFT(BAR!A$2:A$1048576,3)="SRT")+(LEFT(BAR!A$2:A$1048576,3)="PAS"),ROW(BAR!A$2:A$1048576)),ROW()-1)),"")</f>
        <v>SRTND04030262</v>
      </c>
      <c r="B127" t="str">
        <f>IF(COUNTBLANK(A127),"",IF(ISBLANK(VLOOKUP(A127,BAR!A:I,8,FALSE)),"",VLOOKUP(A127,BAR!A:I,8,FALSE)))</f>
        <v/>
      </c>
    </row>
    <row r="128" spans="1:2">
      <c r="A128" t="str" cm="1">
        <f t="array" ref="A128">IFERROR(INDEX(BAR!A:A,SMALL(IF((LEFT(BAR!A$2:A$1048576,3)="SRT")+(LEFT(BAR!A$2:A$1048576,3)="PAS"),ROW(BAR!A$2:A$1048576)),ROW()-1)),"")</f>
        <v>SRTND07020039</v>
      </c>
      <c r="B128" t="str">
        <f>IF(COUNTBLANK(A128),"",IF(ISBLANK(VLOOKUP(A128,BAR!A:I,8,FALSE)),"",VLOOKUP(A128,BAR!A:I,8,FALSE)))</f>
        <v/>
      </c>
    </row>
    <row r="129" spans="1:2">
      <c r="A129" t="str" cm="1">
        <f t="array" ref="A129">IFERROR(INDEX(BAR!A:A,SMALL(IF((LEFT(BAR!A$2:A$1048576,3)="SRT")+(LEFT(BAR!A$2:A$1048576,3)="PAS"),ROW(BAR!A$2:A$1048576)),ROW()-1)),"")</f>
        <v>SRTND04020307</v>
      </c>
      <c r="B129" t="str">
        <f>IF(COUNTBLANK(A129),"",IF(ISBLANK(VLOOKUP(A129,BAR!A:I,8,FALSE)),"",VLOOKUP(A129,BAR!A:I,8,FALSE)))</f>
        <v/>
      </c>
    </row>
    <row r="130" spans="1:2">
      <c r="A130" t="str" cm="1">
        <f t="array" ref="A130">IFERROR(INDEX(BAR!A:A,SMALL(IF((LEFT(BAR!A$2:A$1048576,3)="SRT")+(LEFT(BAR!A$2:A$1048576,3)="PAS"),ROW(BAR!A$2:A$1048576)),ROW()-1)),"")</f>
        <v>SRTND04020308</v>
      </c>
      <c r="B130" t="str">
        <f>IF(COUNTBLANK(A130),"",IF(ISBLANK(VLOOKUP(A130,BAR!A:I,8,FALSE)),"",VLOOKUP(A130,BAR!A:I,8,FALSE)))</f>
        <v/>
      </c>
    </row>
    <row r="131" spans="1:2">
      <c r="A131" t="str" cm="1">
        <f t="array" ref="A131">IFERROR(INDEX(BAR!A:A,SMALL(IF((LEFT(BAR!A$2:A$1048576,3)="SRT")+(LEFT(BAR!A$2:A$1048576,3)="PAS"),ROW(BAR!A$2:A$1048576)),ROW()-1)),"")</f>
        <v>SRTFD05010047</v>
      </c>
      <c r="B131" t="str">
        <f>IF(COUNTBLANK(A131),"",IF(ISBLANK(VLOOKUP(A131,BAR!A:I,8,FALSE)),"",VLOOKUP(A131,BAR!A:I,8,FALSE)))</f>
        <v/>
      </c>
    </row>
    <row r="132" spans="1:2">
      <c r="A132" t="str" cm="1">
        <f t="array" ref="A132">IFERROR(INDEX(BAR!A:A,SMALL(IF((LEFT(BAR!A$2:A$1048576,3)="SRT")+(LEFT(BAR!A$2:A$1048576,3)="PAS"),ROW(BAR!A$2:A$1048576)),ROW()-1)),"")</f>
        <v>SRTND04050030</v>
      </c>
      <c r="B132" t="str">
        <f>IF(COUNTBLANK(A132),"",IF(ISBLANK(VLOOKUP(A132,BAR!A:I,8,FALSE)),"",VLOOKUP(A132,BAR!A:I,8,FALSE)))</f>
        <v/>
      </c>
    </row>
    <row r="133" spans="1:2">
      <c r="A133" t="str" cm="1">
        <f t="array" ref="A133">IFERROR(INDEX(BAR!A:A,SMALL(IF((LEFT(BAR!A$2:A$1048576,3)="SRT")+(LEFT(BAR!A$2:A$1048576,3)="PAS"),ROW(BAR!A$2:A$1048576)),ROW()-1)),"")</f>
        <v>SRTND04030229</v>
      </c>
      <c r="B133" t="str">
        <f>IF(COUNTBLANK(A133),"",IF(ISBLANK(VLOOKUP(A133,BAR!A:I,8,FALSE)),"",VLOOKUP(A133,BAR!A:I,8,FALSE)))</f>
        <v/>
      </c>
    </row>
    <row r="134" spans="1:2">
      <c r="A134" t="str" cm="1">
        <f t="array" ref="A134">IFERROR(INDEX(BAR!A:A,SMALL(IF((LEFT(BAR!A$2:A$1048576,3)="SRT")+(LEFT(BAR!A$2:A$1048576,3)="PAS"),ROW(BAR!A$2:A$1048576)),ROW()-1)),"")</f>
        <v>SRTND04050032</v>
      </c>
      <c r="B134" t="str">
        <f>IF(COUNTBLANK(A134),"",IF(ISBLANK(VLOOKUP(A134,BAR!A:I,8,FALSE)),"",VLOOKUP(A134,BAR!A:I,8,FALSE)))</f>
        <v/>
      </c>
    </row>
    <row r="135" spans="1:2">
      <c r="A135" t="str" cm="1">
        <f t="array" ref="A135">IFERROR(INDEX(BAR!A:A,SMALL(IF((LEFT(BAR!A$2:A$1048576,3)="SRT")+(LEFT(BAR!A$2:A$1048576,3)="PAS"),ROW(BAR!A$2:A$1048576)),ROW()-1)),"")</f>
        <v>SRTND04020352</v>
      </c>
      <c r="B135" t="str">
        <f>IF(COUNTBLANK(A135),"",IF(ISBLANK(VLOOKUP(A135,BAR!A:I,8,FALSE)),"",VLOOKUP(A135,BAR!A:I,8,FALSE)))</f>
        <v/>
      </c>
    </row>
    <row r="136" spans="1:2">
      <c r="A136" t="str" cm="1">
        <f t="array" ref="A136">IFERROR(INDEX(BAR!A:A,SMALL(IF((LEFT(BAR!A$2:A$1048576,3)="SRT")+(LEFT(BAR!A$2:A$1048576,3)="PAS"),ROW(BAR!A$2:A$1048576)),ROW()-1)),"")</f>
        <v>SRTND04020361</v>
      </c>
      <c r="B136" t="str">
        <f>IF(COUNTBLANK(A136),"",IF(ISBLANK(VLOOKUP(A136,BAR!A:I,8,FALSE)),"",VLOOKUP(A136,BAR!A:I,8,FALSE)))</f>
        <v/>
      </c>
    </row>
    <row r="137" spans="1:2">
      <c r="A137" t="str" cm="1">
        <f t="array" ref="A137">IFERROR(INDEX(BAR!A:A,SMALL(IF((LEFT(BAR!A$2:A$1048576,3)="SRT")+(LEFT(BAR!A$2:A$1048576,3)="PAS"),ROW(BAR!A$2:A$1048576)),ROW()-1)),"")</f>
        <v>SRTND04020234</v>
      </c>
      <c r="B137" t="str">
        <f>IF(COUNTBLANK(A137),"",IF(ISBLANK(VLOOKUP(A137,BAR!A:I,8,FALSE)),"",VLOOKUP(A137,BAR!A:I,8,FALSE)))</f>
        <v/>
      </c>
    </row>
    <row r="138" spans="1:2">
      <c r="A138" t="str" cm="1">
        <f t="array" ref="A138">IFERROR(INDEX(BAR!A:A,SMALL(IF((LEFT(BAR!A$2:A$1048576,3)="SRT")+(LEFT(BAR!A$2:A$1048576,3)="PAS"),ROW(BAR!A$2:A$1048576)),ROW()-1)),"")</f>
        <v>SRTND06020057</v>
      </c>
      <c r="B138" t="str">
        <f>IF(COUNTBLANK(A138),"",IF(ISBLANK(VLOOKUP(A138,BAR!A:I,8,FALSE)),"",VLOOKUP(A138,BAR!A:I,8,FALSE)))</f>
        <v/>
      </c>
    </row>
    <row r="139" spans="1:2">
      <c r="A139" t="str" cm="1">
        <f t="array" ref="A139">IFERROR(INDEX(BAR!A:A,SMALL(IF((LEFT(BAR!A$2:A$1048576,3)="SRT")+(LEFT(BAR!A$2:A$1048576,3)="PAS"),ROW(BAR!A$2:A$1048576)),ROW()-1)),"")</f>
        <v/>
      </c>
      <c r="B139" t="str">
        <f>IF(COUNTBLANK(A139),"",IF(ISBLANK(VLOOKUP(A139,BAR!A:I,8,FALSE)),"",VLOOKUP(A139,BAR!A:I,8,FALSE)))</f>
        <v/>
      </c>
    </row>
    <row r="140" spans="1:2">
      <c r="A140" t="str" cm="1">
        <f t="array" ref="A140">IFERROR(INDEX(BAR!A:A,SMALL(IF((LEFT(BAR!A$2:A$1048576,3)="SRT")+(LEFT(BAR!A$2:A$1048576,3)="PAS"),ROW(BAR!A$2:A$1048576)),ROW()-1)),"")</f>
        <v/>
      </c>
      <c r="B140" t="str">
        <f>IF(COUNTBLANK(A140),"",IF(ISBLANK(VLOOKUP(A140,BAR!A:I,8,FALSE)),"",VLOOKUP(A140,BAR!A:I,8,FALSE)))</f>
        <v/>
      </c>
    </row>
    <row r="141" spans="1:2">
      <c r="A141" t="str" cm="1">
        <f t="array" ref="A141">IFERROR(INDEX(BAR!A:A,SMALL(IF((LEFT(BAR!A$2:A$1048576,3)="SRT")+(LEFT(BAR!A$2:A$1048576,3)="PAS"),ROW(BAR!A$2:A$1048576)),ROW()-1)),"")</f>
        <v/>
      </c>
      <c r="B141" t="str">
        <f>IF(COUNTBLANK(A141),"",IF(ISBLANK(VLOOKUP(A141,BAR!A:I,8,FALSE)),"",VLOOKUP(A141,BAR!A:I,8,FALSE)))</f>
        <v/>
      </c>
    </row>
    <row r="142" spans="1:2">
      <c r="A142" t="str" cm="1">
        <f t="array" ref="A142">IFERROR(INDEX(BAR!A:A,SMALL(IF((LEFT(BAR!A$2:A$1048576,3)="SRT")+(LEFT(BAR!A$2:A$1048576,3)="PAS"),ROW(BAR!A$2:A$1048576)),ROW()-1)),"")</f>
        <v/>
      </c>
      <c r="B142" t="str">
        <f>IF(COUNTBLANK(A142),"",IF(ISBLANK(VLOOKUP(A142,BAR!A:I,8,FALSE)),"",VLOOKUP(A142,BAR!A:I,8,FALSE)))</f>
        <v/>
      </c>
    </row>
    <row r="143" spans="1:2">
      <c r="A143" t="str" cm="1">
        <f t="array" ref="A143">IFERROR(INDEX(BAR!A:A,SMALL(IF((LEFT(BAR!A$2:A$1048576,3)="SRT")+(LEFT(BAR!A$2:A$1048576,3)="PAS"),ROW(BAR!A$2:A$1048576)),ROW()-1)),"")</f>
        <v/>
      </c>
      <c r="B143" t="str">
        <f>IF(COUNTBLANK(A143),"",IF(ISBLANK(VLOOKUP(A143,BAR!A:I,8,FALSE)),"",VLOOKUP(A143,BAR!A:I,8,FALSE)))</f>
        <v/>
      </c>
    </row>
    <row r="144" spans="1:2">
      <c r="A144" t="str" cm="1">
        <f t="array" ref="A144">IFERROR(INDEX(BAR!A:A,SMALL(IF((LEFT(BAR!A$2:A$1048576,3)="SRT")+(LEFT(BAR!A$2:A$1048576,3)="PAS"),ROW(BAR!A$2:A$1048576)),ROW()-1)),"")</f>
        <v/>
      </c>
      <c r="B144" t="str">
        <f>IF(COUNTBLANK(A144),"",IF(ISBLANK(VLOOKUP(A144,BAR!A:I,8,FALSE)),"",VLOOKUP(A144,BAR!A:I,8,FALSE)))</f>
        <v/>
      </c>
    </row>
    <row r="145" spans="1:2">
      <c r="A145" t="str" cm="1">
        <f t="array" ref="A145">IFERROR(INDEX(BAR!A:A,SMALL(IF((LEFT(BAR!A$2:A$1048576,3)="SRT")+(LEFT(BAR!A$2:A$1048576,3)="PAS"),ROW(BAR!A$2:A$1048576)),ROW()-1)),"")</f>
        <v/>
      </c>
      <c r="B145" t="str">
        <f>IF(COUNTBLANK(A145),"",IF(ISBLANK(VLOOKUP(A145,BAR!A:I,8,FALSE)),"",VLOOKUP(A145,BAR!A:I,8,FALSE)))</f>
        <v/>
      </c>
    </row>
    <row r="146" spans="1:2">
      <c r="A146" t="str" cm="1">
        <f t="array" ref="A146">IFERROR(INDEX(BAR!A:A,SMALL(IF((LEFT(BAR!A$2:A$1048576,3)="SRT")+(LEFT(BAR!A$2:A$1048576,3)="PAS"),ROW(BAR!A$2:A$1048576)),ROW()-1)),"")</f>
        <v/>
      </c>
      <c r="B146" t="str">
        <f>IF(COUNTBLANK(A146),"",IF(ISBLANK(VLOOKUP(A146,BAR!A:I,8,FALSE)),"",VLOOKUP(A146,BAR!A:I,8,FALSE)))</f>
        <v/>
      </c>
    </row>
    <row r="147" spans="1:2">
      <c r="A147" t="str" cm="1">
        <f t="array" ref="A147">IFERROR(INDEX(BAR!A:A,SMALL(IF((LEFT(BAR!A$2:A$1048576,3)="SRT")+(LEFT(BAR!A$2:A$1048576,3)="PAS"),ROW(BAR!A$2:A$1048576)),ROW()-1)),"")</f>
        <v/>
      </c>
      <c r="B147" t="str">
        <f>IF(COUNTBLANK(A147),"",IF(ISBLANK(VLOOKUP(A147,BAR!A:I,8,FALSE)),"",VLOOKUP(A147,BAR!A:I,8,FALSE)))</f>
        <v/>
      </c>
    </row>
    <row r="148" spans="1:2">
      <c r="A148" t="str" cm="1">
        <f t="array" ref="A148">IFERROR(INDEX(BAR!A:A,SMALL(IF((LEFT(BAR!A$2:A$1048576,3)="SRT")+(LEFT(BAR!A$2:A$1048576,3)="PAS"),ROW(BAR!A$2:A$1048576)),ROW()-1)),"")</f>
        <v/>
      </c>
      <c r="B148" t="str">
        <f>IF(COUNTBLANK(A148),"",IF(ISBLANK(VLOOKUP(A148,BAR!A:I,8,FALSE)),"",VLOOKUP(A148,BAR!A:I,8,FALSE)))</f>
        <v/>
      </c>
    </row>
    <row r="149" spans="1:2">
      <c r="A149" t="str" cm="1">
        <f t="array" ref="A149">IFERROR(INDEX(BAR!A:A,SMALL(IF((LEFT(BAR!A$2:A$1048576,3)="SRT")+(LEFT(BAR!A$2:A$1048576,3)="PAS"),ROW(BAR!A$2:A$1048576)),ROW()-1)),"")</f>
        <v/>
      </c>
      <c r="B149" t="str">
        <f>IF(COUNTBLANK(A149),"",IF(ISBLANK(VLOOKUP(A149,BAR!A:I,8,FALSE)),"",VLOOKUP(A149,BAR!A:I,8,FALSE)))</f>
        <v/>
      </c>
    </row>
    <row r="150" spans="1:2">
      <c r="A150" t="str" cm="1">
        <f t="array" ref="A150">IFERROR(INDEX(BAR!A:A,SMALL(IF((LEFT(BAR!A$2:A$1048576,3)="SRT")+(LEFT(BAR!A$2:A$1048576,3)="PAS"),ROW(BAR!A$2:A$1048576)),ROW()-1)),"")</f>
        <v/>
      </c>
      <c r="B150" t="str">
        <f>IF(COUNTBLANK(A150),"",IF(ISBLANK(VLOOKUP(A150,BAR!A:I,8,FALSE)),"",VLOOKUP(A150,BAR!A:I,8,FALSE)))</f>
        <v/>
      </c>
    </row>
    <row r="151" spans="1:2">
      <c r="A151" t="str" cm="1">
        <f t="array" ref="A151">IFERROR(INDEX(BAR!A:A,SMALL(IF((LEFT(BAR!A$2:A$1048576,3)="SRT")+(LEFT(BAR!A$2:A$1048576,3)="PAS"),ROW(BAR!A$2:A$1048576)),ROW()-1)),"")</f>
        <v/>
      </c>
      <c r="B151" t="str">
        <f>IF(COUNTBLANK(A151),"",IF(ISBLANK(VLOOKUP(A151,BAR!A:I,8,FALSE)),"",VLOOKUP(A151,BAR!A:I,8,FALSE)))</f>
        <v/>
      </c>
    </row>
    <row r="152" spans="1:2">
      <c r="A152" t="str" cm="1">
        <f t="array" ref="A152">IFERROR(INDEX(BAR!A:A,SMALL(IF((LEFT(BAR!A$2:A$1048576,3)="SRT")+(LEFT(BAR!A$2:A$1048576,3)="PAS"),ROW(BAR!A$2:A$1048576)),ROW()-1)),"")</f>
        <v/>
      </c>
      <c r="B152" t="str">
        <f>IF(COUNTBLANK(A152),"",IF(ISBLANK(VLOOKUP(A152,BAR!A:I,8,FALSE)),"",VLOOKUP(A152,BAR!A:I,8,FALSE)))</f>
        <v/>
      </c>
    </row>
    <row r="153" spans="1:2">
      <c r="A153" t="str" cm="1">
        <f t="array" ref="A153">IFERROR(INDEX(BAR!A:A,SMALL(IF((LEFT(BAR!A$2:A$1048576,3)="SRT")+(LEFT(BAR!A$2:A$1048576,3)="PAS"),ROW(BAR!A$2:A$1048576)),ROW()-1)),"")</f>
        <v/>
      </c>
      <c r="B153" t="str">
        <f>IF(COUNTBLANK(A153),"",IF(ISBLANK(VLOOKUP(A153,BAR!A:I,8,FALSE)),"",VLOOKUP(A153,BAR!A:I,8,FALSE)))</f>
        <v/>
      </c>
    </row>
    <row r="154" spans="1:2">
      <c r="A154" t="str" cm="1">
        <f t="array" ref="A154">IFERROR(INDEX(BAR!A:A,SMALL(IF((LEFT(BAR!A$2:A$1048576,3)="SRT")+(LEFT(BAR!A$2:A$1048576,3)="PAS"),ROW(BAR!A$2:A$1048576)),ROW()-1)),"")</f>
        <v/>
      </c>
      <c r="B154" t="str">
        <f>IF(COUNTBLANK(A154),"",IF(ISBLANK(VLOOKUP(A154,BAR!A:I,8,FALSE)),"",VLOOKUP(A154,BAR!A:I,8,FALSE)))</f>
        <v/>
      </c>
    </row>
    <row r="155" spans="1:2">
      <c r="A155" t="str" cm="1">
        <f t="array" ref="A155">IFERROR(INDEX(BAR!A:A,SMALL(IF((LEFT(BAR!A$2:A$1048576,3)="SRT")+(LEFT(BAR!A$2:A$1048576,3)="PAS"),ROW(BAR!A$2:A$1048576)),ROW()-1)),"")</f>
        <v/>
      </c>
      <c r="B155" t="str">
        <f>IF(COUNTBLANK(A155),"",IF(ISBLANK(VLOOKUP(A155,BAR!A:I,8,FALSE)),"",VLOOKUP(A155,BAR!A:I,8,FALSE)))</f>
        <v/>
      </c>
    </row>
    <row r="156" spans="1:2">
      <c r="A156" t="str" cm="1">
        <f t="array" ref="A156">IFERROR(INDEX(BAR!A:A,SMALL(IF((LEFT(BAR!A$2:A$1048576,3)="SRT")+(LEFT(BAR!A$2:A$1048576,3)="PAS"),ROW(BAR!A$2:A$1048576)),ROW()-1)),"")</f>
        <v/>
      </c>
      <c r="B156" t="str">
        <f>IF(COUNTBLANK(A156),"",IF(ISBLANK(VLOOKUP(A156,BAR!A:I,8,FALSE)),"",VLOOKUP(A156,BAR!A:I,8,FALSE)))</f>
        <v/>
      </c>
    </row>
    <row r="157" spans="1:2">
      <c r="A157" t="str" cm="1">
        <f t="array" ref="A157">IFERROR(INDEX(BAR!A:A,SMALL(IF((LEFT(BAR!A$2:A$1048576,3)="SRT")+(LEFT(BAR!A$2:A$1048576,3)="PAS"),ROW(BAR!A$2:A$1048576)),ROW()-1)),"")</f>
        <v/>
      </c>
      <c r="B157" t="str">
        <f>IF(COUNTBLANK(A157),"",IF(ISBLANK(VLOOKUP(A157,BAR!A:I,8,FALSE)),"",VLOOKUP(A157,BAR!A:I,8,FALSE)))</f>
        <v/>
      </c>
    </row>
    <row r="158" spans="1:2">
      <c r="A158" t="str" cm="1">
        <f t="array" ref="A158">IFERROR(INDEX(BAR!A:A,SMALL(IF((LEFT(BAR!A$2:A$1048576,3)="SRT")+(LEFT(BAR!A$2:A$1048576,3)="PAS"),ROW(BAR!A$2:A$1048576)),ROW()-1)),"")</f>
        <v/>
      </c>
      <c r="B158" t="str">
        <f>IF(COUNTBLANK(A158),"",IF(ISBLANK(VLOOKUP(A158,BAR!A:I,8,FALSE)),"",VLOOKUP(A158,BAR!A:I,8,FALSE)))</f>
        <v/>
      </c>
    </row>
    <row r="159" spans="1:2">
      <c r="A159" t="str" cm="1">
        <f t="array" ref="A159">IFERROR(INDEX(BAR!A:A,SMALL(IF((LEFT(BAR!A$2:A$1048576,3)="SRT")+(LEFT(BAR!A$2:A$1048576,3)="PAS"),ROW(BAR!A$2:A$1048576)),ROW()-1)),"")</f>
        <v/>
      </c>
      <c r="B159" t="str">
        <f>IF(COUNTBLANK(A159),"",IF(ISBLANK(VLOOKUP(A159,BAR!A:I,8,FALSE)),"",VLOOKUP(A159,BAR!A:I,8,FALSE)))</f>
        <v/>
      </c>
    </row>
    <row r="160" spans="1:2">
      <c r="A160" t="str" cm="1">
        <f t="array" ref="A160">IFERROR(INDEX(BAR!A:A,SMALL(IF((LEFT(BAR!A$2:A$1048576,3)="SRT")+(LEFT(BAR!A$2:A$1048576,3)="PAS"),ROW(BAR!A$2:A$1048576)),ROW()-1)),"")</f>
        <v/>
      </c>
      <c r="B160" t="str">
        <f>IF(COUNTBLANK(A160),"",IF(ISBLANK(VLOOKUP(A160,BAR!A:I,8,FALSE)),"",VLOOKUP(A160,BAR!A:I,8,FALSE)))</f>
        <v/>
      </c>
    </row>
    <row r="161" spans="1:2">
      <c r="A161" t="str" cm="1">
        <f t="array" ref="A161">IFERROR(INDEX(BAR!A:A,SMALL(IF((LEFT(BAR!A$2:A$1048576,3)="SRT")+(LEFT(BAR!A$2:A$1048576,3)="PAS"),ROW(BAR!A$2:A$1048576)),ROW()-1)),"")</f>
        <v/>
      </c>
      <c r="B161" t="str">
        <f>IF(COUNTBLANK(A161),"",IF(ISBLANK(VLOOKUP(A161,BAR!A:I,8,FALSE)),"",VLOOKUP(A161,BAR!A:I,8,FALSE)))</f>
        <v/>
      </c>
    </row>
    <row r="162" spans="1:2">
      <c r="A162" t="str" cm="1">
        <f t="array" ref="A162">IFERROR(INDEX(BAR!A:A,SMALL(IF((LEFT(BAR!A$2:A$1048576,3)="SRT")+(LEFT(BAR!A$2:A$1048576,3)="PAS"),ROW(BAR!A$2:A$1048576)),ROW()-1)),"")</f>
        <v/>
      </c>
      <c r="B162" t="str">
        <f>IF(COUNTBLANK(A162),"",IF(ISBLANK(VLOOKUP(A162,BAR!A:I,8,FALSE)),"",VLOOKUP(A162,BAR!A:I,8,FALSE)))</f>
        <v/>
      </c>
    </row>
    <row r="163" spans="1:2">
      <c r="A163" t="str" cm="1">
        <f t="array" ref="A163">IFERROR(INDEX(BAR!A:A,SMALL(IF((LEFT(BAR!A$2:A$1048576,3)="SRT")+(LEFT(BAR!A$2:A$1048576,3)="PAS"),ROW(BAR!A$2:A$1048576)),ROW()-1)),"")</f>
        <v/>
      </c>
      <c r="B163" t="str">
        <f>IF(COUNTBLANK(A163),"",IF(ISBLANK(VLOOKUP(A163,BAR!A:I,8,FALSE)),"",VLOOKUP(A163,BAR!A:I,8,FALSE)))</f>
        <v/>
      </c>
    </row>
    <row r="164" spans="1:2">
      <c r="A164" t="str" cm="1">
        <f t="array" ref="A164">IFERROR(INDEX(BAR!A:A,SMALL(IF((LEFT(BAR!A$2:A$1048576,3)="SRT")+(LEFT(BAR!A$2:A$1048576,3)="PAS"),ROW(BAR!A$2:A$1048576)),ROW()-1)),"")</f>
        <v/>
      </c>
      <c r="B164" t="str">
        <f>IF(COUNTBLANK(A164),"",IF(ISBLANK(VLOOKUP(A164,BAR!A:I,8,FALSE)),"",VLOOKUP(A164,BAR!A:I,8,FALSE)))</f>
        <v/>
      </c>
    </row>
    <row r="165" spans="1:2">
      <c r="A165" t="str" cm="1">
        <f t="array" ref="A165">IFERROR(INDEX(BAR!A:A,SMALL(IF((LEFT(BAR!A$2:A$1048576,3)="SRT")+(LEFT(BAR!A$2:A$1048576,3)="PAS"),ROW(BAR!A$2:A$1048576)),ROW()-1)),"")</f>
        <v/>
      </c>
      <c r="B165" t="str">
        <f>IF(COUNTBLANK(A165),"",IF(ISBLANK(VLOOKUP(A165,BAR!A:I,8,FALSE)),"",VLOOKUP(A165,BAR!A:I,8,FALSE)))</f>
        <v/>
      </c>
    </row>
    <row r="166" spans="1:2">
      <c r="A166" t="str" cm="1">
        <f t="array" ref="A166">IFERROR(INDEX(BAR!A:A,SMALL(IF((LEFT(BAR!A$2:A$1048576,3)="SRT")+(LEFT(BAR!A$2:A$1048576,3)="PAS"),ROW(BAR!A$2:A$1048576)),ROW()-1)),"")</f>
        <v/>
      </c>
      <c r="B166" t="str">
        <f>IF(COUNTBLANK(A166),"",IF(ISBLANK(VLOOKUP(A166,BAR!A:I,8,FALSE)),"",VLOOKUP(A166,BAR!A:I,8,FALSE)))</f>
        <v/>
      </c>
    </row>
    <row r="167" spans="1:2">
      <c r="A167" t="str" cm="1">
        <f t="array" ref="A167">IFERROR(INDEX(BAR!A:A,SMALL(IF((LEFT(BAR!A$2:A$1048576,3)="SRT")+(LEFT(BAR!A$2:A$1048576,3)="PAS"),ROW(BAR!A$2:A$1048576)),ROW()-1)),"")</f>
        <v/>
      </c>
      <c r="B167" t="str">
        <f>IF(COUNTBLANK(A167),"",IF(ISBLANK(VLOOKUP(A167,BAR!A:I,8,FALSE)),"",VLOOKUP(A167,BAR!A:I,8,FALSE)))</f>
        <v/>
      </c>
    </row>
    <row r="168" spans="1:2">
      <c r="A168" t="str" cm="1">
        <f t="array" ref="A168">IFERROR(INDEX(BAR!A:A,SMALL(IF((LEFT(BAR!A$2:A$1048576,3)="SRT")+(LEFT(BAR!A$2:A$1048576,3)="PAS"),ROW(BAR!A$2:A$1048576)),ROW()-1)),"")</f>
        <v/>
      </c>
      <c r="B168" t="str">
        <f>IF(COUNTBLANK(A168),"",IF(ISBLANK(VLOOKUP(A168,BAR!A:I,8,FALSE)),"",VLOOKUP(A168,BAR!A:I,8,FALSE)))</f>
        <v/>
      </c>
    </row>
    <row r="169" spans="1:2">
      <c r="A169" t="str" cm="1">
        <f t="array" ref="A169">IFERROR(INDEX(BAR!A:A,SMALL(IF((LEFT(BAR!A$2:A$1048576,3)="SRT")+(LEFT(BAR!A$2:A$1048576,3)="PAS"),ROW(BAR!A$2:A$1048576)),ROW()-1)),"")</f>
        <v/>
      </c>
      <c r="B169" t="str">
        <f>IF(COUNTBLANK(A169),"",IF(ISBLANK(VLOOKUP(A169,BAR!A:I,8,FALSE)),"",VLOOKUP(A169,BAR!A:I,8,FALSE)))</f>
        <v/>
      </c>
    </row>
    <row r="170" spans="1:2">
      <c r="A170" t="str" cm="1">
        <f t="array" ref="A170">IFERROR(INDEX(BAR!A:A,SMALL(IF((LEFT(BAR!A$2:A$1048576,3)="SRT")+(LEFT(BAR!A$2:A$1048576,3)="PAS"),ROW(BAR!A$2:A$1048576)),ROW()-1)),"")</f>
        <v/>
      </c>
      <c r="B170" t="str">
        <f>IF(COUNTBLANK(A170),"",IF(ISBLANK(VLOOKUP(A170,BAR!A:I,8,FALSE)),"",VLOOKUP(A170,BAR!A:I,8,FALSE)))</f>
        <v/>
      </c>
    </row>
    <row r="171" spans="1:2">
      <c r="A171" t="str" cm="1">
        <f t="array" ref="A171">IFERROR(INDEX(BAR!A:A,SMALL(IF((LEFT(BAR!A$2:A$1048576,3)="SRT")+(LEFT(BAR!A$2:A$1048576,3)="PAS"),ROW(BAR!A$2:A$1048576)),ROW()-1)),"")</f>
        <v/>
      </c>
      <c r="B171" t="str">
        <f>IF(COUNTBLANK(A171),"",IF(ISBLANK(VLOOKUP(A171,BAR!A:I,8,FALSE)),"",VLOOKUP(A171,BAR!A:I,8,FALSE)))</f>
        <v/>
      </c>
    </row>
    <row r="172" spans="1:2">
      <c r="A172" t="str" cm="1">
        <f t="array" ref="A172">IFERROR(INDEX(BAR!A:A,SMALL(IF((LEFT(BAR!A$2:A$1048576,3)="SRT")+(LEFT(BAR!A$2:A$1048576,3)="PAS"),ROW(BAR!A$2:A$1048576)),ROW()-1)),"")</f>
        <v/>
      </c>
      <c r="B172" t="str">
        <f>IF(COUNTBLANK(A172),"",IF(ISBLANK(VLOOKUP(A172,BAR!A:I,8,FALSE)),"",VLOOKUP(A172,BAR!A:I,8,FALSE)))</f>
        <v/>
      </c>
    </row>
    <row r="173" spans="1:2">
      <c r="A173" t="str" cm="1">
        <f t="array" ref="A173">IFERROR(INDEX(BAR!A:A,SMALL(IF((LEFT(BAR!A$2:A$1048576,3)="SRT")+(LEFT(BAR!A$2:A$1048576,3)="PAS"),ROW(BAR!A$2:A$1048576)),ROW()-1)),"")</f>
        <v/>
      </c>
      <c r="B173" t="str">
        <f>IF(COUNTBLANK(A173),"",IF(ISBLANK(VLOOKUP(A173,BAR!A:I,8,FALSE)),"",VLOOKUP(A173,BAR!A:I,8,FALSE)))</f>
        <v/>
      </c>
    </row>
    <row r="174" spans="1:2">
      <c r="A174" t="str" cm="1">
        <f t="array" ref="A174">IFERROR(INDEX(BAR!A:A,SMALL(IF((LEFT(BAR!A$2:A$1048576,3)="SRT")+(LEFT(BAR!A$2:A$1048576,3)="PAS"),ROW(BAR!A$2:A$1048576)),ROW()-1)),"")</f>
        <v/>
      </c>
      <c r="B174" t="str">
        <f>IF(COUNTBLANK(A174),"",IF(ISBLANK(VLOOKUP(A174,BAR!A:I,8,FALSE)),"",VLOOKUP(A174,BAR!A:I,8,FALSE)))</f>
        <v/>
      </c>
    </row>
    <row r="175" spans="1:2">
      <c r="A175" t="str" cm="1">
        <f t="array" ref="A175">IFERROR(INDEX(BAR!A:A,SMALL(IF((LEFT(BAR!A$2:A$1048576,3)="SRT")+(LEFT(BAR!A$2:A$1048576,3)="PAS"),ROW(BAR!A$2:A$1048576)),ROW()-1)),"")</f>
        <v/>
      </c>
      <c r="B175" t="str">
        <f>IF(COUNTBLANK(A175),"",IF(ISBLANK(VLOOKUP(A175,BAR!A:I,8,FALSE)),"",VLOOKUP(A175,BAR!A:I,8,FALSE)))</f>
        <v/>
      </c>
    </row>
    <row r="176" spans="1:2">
      <c r="A176" t="str" cm="1">
        <f t="array" ref="A176">IFERROR(INDEX(BAR!A:A,SMALL(IF((LEFT(BAR!A$2:A$1048576,3)="SRT")+(LEFT(BAR!A$2:A$1048576,3)="PAS"),ROW(BAR!A$2:A$1048576)),ROW()-1)),"")</f>
        <v/>
      </c>
      <c r="B176" t="str">
        <f>IF(COUNTBLANK(A176),"",IF(ISBLANK(VLOOKUP(A176,BAR!A:I,8,FALSE)),"",VLOOKUP(A176,BAR!A:I,8,FALSE)))</f>
        <v/>
      </c>
    </row>
    <row r="177" spans="1:2">
      <c r="A177" t="str" cm="1">
        <f t="array" ref="A177">IFERROR(INDEX(BAR!A:A,SMALL(IF((LEFT(BAR!A$2:A$1048576,3)="SRT")+(LEFT(BAR!A$2:A$1048576,3)="PAS"),ROW(BAR!A$2:A$1048576)),ROW()-1)),"")</f>
        <v/>
      </c>
      <c r="B177" t="str">
        <f>IF(COUNTBLANK(A177),"",IF(ISBLANK(VLOOKUP(A177,BAR!A:I,8,FALSE)),"",VLOOKUP(A177,BAR!A:I,8,FALSE)))</f>
        <v/>
      </c>
    </row>
    <row r="178" spans="1:2">
      <c r="A178" t="str" cm="1">
        <f t="array" ref="A178">IFERROR(INDEX(BAR!A:A,SMALL(IF((LEFT(BAR!A$2:A$1048576,3)="SRT")+(LEFT(BAR!A$2:A$1048576,3)="PAS"),ROW(BAR!A$2:A$1048576)),ROW()-1)),"")</f>
        <v/>
      </c>
      <c r="B178" t="str">
        <f>IF(COUNTBLANK(A178),"",IF(ISBLANK(VLOOKUP(A178,BAR!A:I,8,FALSE)),"",VLOOKUP(A178,BAR!A:I,8,FALSE)))</f>
        <v/>
      </c>
    </row>
    <row r="179" spans="1:2">
      <c r="A179" t="str" cm="1">
        <f t="array" ref="A179">IFERROR(INDEX(BAR!A:A,SMALL(IF((LEFT(BAR!A$2:A$1048576,3)="SRT")+(LEFT(BAR!A$2:A$1048576,3)="PAS"),ROW(BAR!A$2:A$1048576)),ROW()-1)),"")</f>
        <v/>
      </c>
      <c r="B179" t="str">
        <f>IF(COUNTBLANK(A179),"",IF(ISBLANK(VLOOKUP(A179,BAR!A:I,8,FALSE)),"",VLOOKUP(A179,BAR!A:I,8,FALSE)))</f>
        <v/>
      </c>
    </row>
    <row r="180" spans="1:2">
      <c r="A180" t="str" cm="1">
        <f t="array" ref="A180">IFERROR(INDEX(BAR!A:A,SMALL(IF((LEFT(BAR!A$2:A$1048576,3)="SRT")+(LEFT(BAR!A$2:A$1048576,3)="PAS"),ROW(BAR!A$2:A$1048576)),ROW()-1)),"")</f>
        <v/>
      </c>
      <c r="B180" t="str">
        <f>IF(COUNTBLANK(A180),"",IF(ISBLANK(VLOOKUP(A180,BAR!A:I,8,FALSE)),"",VLOOKUP(A180,BAR!A:I,8,FALSE)))</f>
        <v/>
      </c>
    </row>
    <row r="181" spans="1:2">
      <c r="A181" t="str" cm="1">
        <f t="array" ref="A181">IFERROR(INDEX(BAR!A:A,SMALL(IF((LEFT(BAR!A$2:A$1048576,3)="SRT")+(LEFT(BAR!A$2:A$1048576,3)="PAS"),ROW(BAR!A$2:A$1048576)),ROW()-1)),"")</f>
        <v/>
      </c>
      <c r="B181" t="str">
        <f>IF(COUNTBLANK(A181),"",IF(ISBLANK(VLOOKUP(A181,BAR!A:I,8,FALSE)),"",VLOOKUP(A181,BAR!A:I,8,FALSE)))</f>
        <v/>
      </c>
    </row>
    <row r="182" spans="1:2">
      <c r="A182" t="str" cm="1">
        <f t="array" ref="A182">IFERROR(INDEX(BAR!A:A,SMALL(IF((LEFT(BAR!A$2:A$1048576,3)="SRT")+(LEFT(BAR!A$2:A$1048576,3)="PAS"),ROW(BAR!A$2:A$1048576)),ROW()-1)),"")</f>
        <v/>
      </c>
      <c r="B182" t="str">
        <f>IF(COUNTBLANK(A182),"",IF(ISBLANK(VLOOKUP(A182,BAR!A:I,8,FALSE)),"",VLOOKUP(A182,BAR!A:I,8,FALSE)))</f>
        <v/>
      </c>
    </row>
    <row r="183" spans="1:2">
      <c r="A183" t="str" cm="1">
        <f t="array" ref="A183">IFERROR(INDEX(BAR!A:A,SMALL(IF((LEFT(BAR!A$2:A$1048576,3)="SRT")+(LEFT(BAR!A$2:A$1048576,3)="PAS"),ROW(BAR!A$2:A$1048576)),ROW()-1)),"")</f>
        <v/>
      </c>
      <c r="B183" t="str">
        <f>IF(COUNTBLANK(A183),"",IF(ISBLANK(VLOOKUP(A183,BAR!A:I,8,FALSE)),"",VLOOKUP(A183,BAR!A:I,8,FALSE)))</f>
        <v/>
      </c>
    </row>
    <row r="184" spans="1:2">
      <c r="A184" t="str" cm="1">
        <f t="array" ref="A184">IFERROR(INDEX(BAR!A:A,SMALL(IF((LEFT(BAR!A$2:A$1048576,3)="SRT")+(LEFT(BAR!A$2:A$1048576,3)="PAS"),ROW(BAR!A$2:A$1048576)),ROW()-1)),"")</f>
        <v/>
      </c>
      <c r="B184" t="str">
        <f>IF(COUNTBLANK(A184),"",IF(ISBLANK(VLOOKUP(A184,BAR!A:I,8,FALSE)),"",VLOOKUP(A184,BAR!A:I,8,FALSE)))</f>
        <v/>
      </c>
    </row>
    <row r="185" spans="1:2">
      <c r="A185" t="str" cm="1">
        <f t="array" ref="A185">IFERROR(INDEX(BAR!A:A,SMALL(IF((LEFT(BAR!A$2:A$1048576,3)="SRT")+(LEFT(BAR!A$2:A$1048576,3)="PAS"),ROW(BAR!A$2:A$1048576)),ROW()-1)),"")</f>
        <v/>
      </c>
      <c r="B185" t="str">
        <f>IF(COUNTBLANK(A185),"",IF(ISBLANK(VLOOKUP(A185,BAR!A:I,8,FALSE)),"",VLOOKUP(A185,BAR!A:I,8,FALSE)))</f>
        <v/>
      </c>
    </row>
    <row r="186" spans="1:2">
      <c r="A186" t="str" cm="1">
        <f t="array" ref="A186">IFERROR(INDEX(BAR!A:A,SMALL(IF((LEFT(BAR!A$2:A$1048576,3)="SRT")+(LEFT(BAR!A$2:A$1048576,3)="PAS"),ROW(BAR!A$2:A$1048576)),ROW()-1)),"")</f>
        <v/>
      </c>
      <c r="B186" t="str">
        <f>IF(COUNTBLANK(A186),"",IF(ISBLANK(VLOOKUP(A186,BAR!A:I,8,FALSE)),"",VLOOKUP(A186,BAR!A:I,8,FALSE)))</f>
        <v/>
      </c>
    </row>
    <row r="187" spans="1:2">
      <c r="A187" t="str" cm="1">
        <f t="array" ref="A187">IFERROR(INDEX(BAR!A:A,SMALL(IF((LEFT(BAR!A$2:A$1048576,3)="SRT")+(LEFT(BAR!A$2:A$1048576,3)="PAS"),ROW(BAR!A$2:A$1048576)),ROW()-1)),"")</f>
        <v/>
      </c>
      <c r="B187" t="str">
        <f>IF(COUNTBLANK(A187),"",IF(ISBLANK(VLOOKUP(A187,BAR!A:I,8,FALSE)),"",VLOOKUP(A187,BAR!A:I,8,FALSE)))</f>
        <v/>
      </c>
    </row>
    <row r="188" spans="1:2">
      <c r="A188" t="str" cm="1">
        <f t="array" ref="A188">IFERROR(INDEX(BAR!A:A,SMALL(IF((LEFT(BAR!A$2:A$1048576,3)="SRT")+(LEFT(BAR!A$2:A$1048576,3)="PAS"),ROW(BAR!A$2:A$1048576)),ROW()-1)),"")</f>
        <v/>
      </c>
      <c r="B188" t="str">
        <f>IF(COUNTBLANK(A188),"",IF(ISBLANK(VLOOKUP(A188,BAR!A:I,8,FALSE)),"",VLOOKUP(A188,BAR!A:I,8,FALSE)))</f>
        <v/>
      </c>
    </row>
    <row r="189" spans="1:2">
      <c r="A189" t="str" cm="1">
        <f t="array" ref="A189">IFERROR(INDEX(BAR!A:A,SMALL(IF((LEFT(BAR!A$2:A$1048576,3)="SRT")+(LEFT(BAR!A$2:A$1048576,3)="PAS"),ROW(BAR!A$2:A$1048576)),ROW()-1)),"")</f>
        <v/>
      </c>
      <c r="B189" t="str">
        <f>IF(COUNTBLANK(A189),"",IF(ISBLANK(VLOOKUP(A189,BAR!A:I,8,FALSE)),"",VLOOKUP(A189,BAR!A:I,8,FALSE)))</f>
        <v/>
      </c>
    </row>
    <row r="190" spans="1:2">
      <c r="A190" t="str" cm="1">
        <f t="array" ref="A190">IFERROR(INDEX(BAR!A:A,SMALL(IF((LEFT(BAR!A$2:A$1048576,3)="SRT")+(LEFT(BAR!A$2:A$1048576,3)="PAS"),ROW(BAR!A$2:A$1048576)),ROW()-1)),"")</f>
        <v/>
      </c>
      <c r="B190" t="str">
        <f>IF(COUNTBLANK(A190),"",IF(ISBLANK(VLOOKUP(A190,BAR!A:I,8,FALSE)),"",VLOOKUP(A190,BAR!A:I,8,FALSE)))</f>
        <v/>
      </c>
    </row>
    <row r="191" spans="1:2">
      <c r="A191" t="str" cm="1">
        <f t="array" ref="A191">IFERROR(INDEX(BAR!A:A,SMALL(IF((LEFT(BAR!A$2:A$1048576,3)="SRT")+(LEFT(BAR!A$2:A$1048576,3)="PAS"),ROW(BAR!A$2:A$1048576)),ROW()-1)),"")</f>
        <v/>
      </c>
      <c r="B191" t="str">
        <f>IF(COUNTBLANK(A191),"",IF(ISBLANK(VLOOKUP(A191,BAR!A:I,8,FALSE)),"",VLOOKUP(A191,BAR!A:I,8,FALSE)))</f>
        <v/>
      </c>
    </row>
    <row r="192" spans="1:2">
      <c r="A192" t="str" cm="1">
        <f t="array" ref="A192">IFERROR(INDEX(BAR!A:A,SMALL(IF((LEFT(BAR!A$2:A$1048576,3)="SRT")+(LEFT(BAR!A$2:A$1048576,3)="PAS"),ROW(BAR!A$2:A$1048576)),ROW()-1)),"")</f>
        <v/>
      </c>
      <c r="B192" t="str">
        <f>IF(COUNTBLANK(A192),"",IF(ISBLANK(VLOOKUP(A192,BAR!A:I,8,FALSE)),"",VLOOKUP(A192,BAR!A:I,8,FALSE)))</f>
        <v/>
      </c>
    </row>
    <row r="193" spans="1:2">
      <c r="A193" t="str" cm="1">
        <f t="array" ref="A193">IFERROR(INDEX(BAR!A:A,SMALL(IF((LEFT(BAR!A$2:A$1048576,3)="SRT")+(LEFT(BAR!A$2:A$1048576,3)="PAS"),ROW(BAR!A$2:A$1048576)),ROW()-1)),"")</f>
        <v/>
      </c>
      <c r="B193" t="str">
        <f>IF(COUNTBLANK(A193),"",IF(ISBLANK(VLOOKUP(A193,BAR!A:I,8,FALSE)),"",VLOOKUP(A193,BAR!A:I,8,FALSE)))</f>
        <v/>
      </c>
    </row>
    <row r="194" spans="1:2">
      <c r="A194" t="str" cm="1">
        <f t="array" ref="A194">IFERROR(INDEX(BAR!A:A,SMALL(IF((LEFT(BAR!A$2:A$1048576,3)="SRT")+(LEFT(BAR!A$2:A$1048576,3)="PAS"),ROW(BAR!A$2:A$1048576)),ROW()-1)),"")</f>
        <v/>
      </c>
      <c r="B194" t="str">
        <f>IF(COUNTBLANK(A194),"",IF(ISBLANK(VLOOKUP(A194,BAR!A:I,8,FALSE)),"",VLOOKUP(A194,BAR!A:I,8,FALSE)))</f>
        <v/>
      </c>
    </row>
    <row r="195" spans="1:2">
      <c r="A195" t="str" cm="1">
        <f t="array" ref="A195">IFERROR(INDEX(BAR!A:A,SMALL(IF((LEFT(BAR!A$2:A$1048576,3)="SRT")+(LEFT(BAR!A$2:A$1048576,3)="PAS"),ROW(BAR!A$2:A$1048576)),ROW()-1)),"")</f>
        <v/>
      </c>
      <c r="B195" t="str">
        <f>IF(COUNTBLANK(A195),"",IF(ISBLANK(VLOOKUP(A195,BAR!A:I,8,FALSE)),"",VLOOKUP(A195,BAR!A:I,8,FALSE)))</f>
        <v/>
      </c>
    </row>
    <row r="196" spans="1:2">
      <c r="A196" t="str" cm="1">
        <f t="array" ref="A196">IFERROR(INDEX(BAR!A:A,SMALL(IF((LEFT(BAR!A$2:A$1048576,3)="SRT")+(LEFT(BAR!A$2:A$1048576,3)="PAS"),ROW(BAR!A$2:A$1048576)),ROW()-1)),"")</f>
        <v/>
      </c>
      <c r="B196" t="str">
        <f>IF(COUNTBLANK(A196),"",IF(ISBLANK(VLOOKUP(A196,BAR!A:I,8,FALSE)),"",VLOOKUP(A196,BAR!A:I,8,FALSE)))</f>
        <v/>
      </c>
    </row>
    <row r="197" spans="1:2">
      <c r="A197" t="str" cm="1">
        <f t="array" ref="A197">IFERROR(INDEX(BAR!A:A,SMALL(IF((LEFT(BAR!A$2:A$1048576,3)="SRT")+(LEFT(BAR!A$2:A$1048576,3)="PAS"),ROW(BAR!A$2:A$1048576)),ROW()-1)),"")</f>
        <v/>
      </c>
      <c r="B197" t="str">
        <f>IF(COUNTBLANK(A197),"",IF(ISBLANK(VLOOKUP(A197,BAR!A:I,8,FALSE)),"",VLOOKUP(A197,BAR!A:I,8,FALSE)))</f>
        <v/>
      </c>
    </row>
    <row r="198" spans="1:2">
      <c r="A198" t="str" cm="1">
        <f t="array" ref="A198">IFERROR(INDEX(BAR!A:A,SMALL(IF((LEFT(BAR!A$2:A$1048576,3)="SRT")+(LEFT(BAR!A$2:A$1048576,3)="PAS"),ROW(BAR!A$2:A$1048576)),ROW()-1)),"")</f>
        <v/>
      </c>
      <c r="B198" t="str">
        <f>IF(COUNTBLANK(A198),"",IF(ISBLANK(VLOOKUP(A198,BAR!A:I,8,FALSE)),"",VLOOKUP(A198,BAR!A:I,8,FALSE)))</f>
        <v/>
      </c>
    </row>
    <row r="199" spans="1:2">
      <c r="A199" t="str" cm="1">
        <f t="array" ref="A199">IFERROR(INDEX(BAR!A:A,SMALL(IF((LEFT(BAR!A$2:A$1048576,3)="SRT")+(LEFT(BAR!A$2:A$1048576,3)="PAS"),ROW(BAR!A$2:A$1048576)),ROW()-1)),"")</f>
        <v/>
      </c>
      <c r="B199" t="str">
        <f>IF(COUNTBLANK(A199),"",IF(ISBLANK(VLOOKUP(A199,BAR!A:I,8,FALSE)),"",VLOOKUP(A199,BAR!A:I,8,FALSE)))</f>
        <v/>
      </c>
    </row>
    <row r="200" spans="1:2">
      <c r="A200" t="str" cm="1">
        <f t="array" ref="A200">IFERROR(INDEX(BAR!A:A,SMALL(IF((LEFT(BAR!A$2:A$1048576,3)="SRT")+(LEFT(BAR!A$2:A$1048576,3)="PAS"),ROW(BAR!A$2:A$1048576)),ROW()-1)),"")</f>
        <v/>
      </c>
      <c r="B200" t="str">
        <f>IF(COUNTBLANK(A200),"",IF(ISBLANK(VLOOKUP(A200,BAR!A:I,8,FALSE)),"",VLOOKUP(A200,BAR!A:I,8,FALSE)))</f>
        <v/>
      </c>
    </row>
    <row r="201" spans="1:2">
      <c r="A201" t="str" cm="1">
        <f t="array" ref="A201">IFERROR(INDEX(BAR!A:A,SMALL(IF((LEFT(BAR!A$2:A$1048576,3)="SRT")+(LEFT(BAR!A$2:A$1048576,3)="PAS"),ROW(BAR!A$2:A$1048576)),ROW()-1)),"")</f>
        <v/>
      </c>
      <c r="B201" t="str">
        <f>IF(COUNTBLANK(A201),"",IF(ISBLANK(VLOOKUP(A201,BAR!A:I,8,FALSE)),"",VLOOKUP(A201,BAR!A:I,8,FALSE)))</f>
        <v/>
      </c>
    </row>
    <row r="202" spans="1:2">
      <c r="A202" t="str" cm="1">
        <f t="array" ref="A202">IFERROR(INDEX(BAR!A:A,SMALL(IF((LEFT(BAR!A$2:A$1048576,3)="SRT")+(LEFT(BAR!A$2:A$1048576,3)="PAS"),ROW(BAR!A$2:A$1048576)),ROW()-1)),"")</f>
        <v/>
      </c>
      <c r="B202" t="str">
        <f>IF(COUNTBLANK(A202),"",IF(ISBLANK(VLOOKUP(A202,BAR!A:I,8,FALSE)),"",VLOOKUP(A202,BAR!A:I,8,FALSE)))</f>
        <v/>
      </c>
    </row>
    <row r="203" spans="1:2">
      <c r="A203" t="str" cm="1">
        <f t="array" ref="A203">IFERROR(INDEX(BAR!A:A,SMALL(IF((LEFT(BAR!A$2:A$1048576,3)="SRT")+(LEFT(BAR!A$2:A$1048576,3)="PAS"),ROW(BAR!A$2:A$1048576)),ROW()-1)),"")</f>
        <v/>
      </c>
      <c r="B203" t="str">
        <f>IF(COUNTBLANK(A203),"",IF(ISBLANK(VLOOKUP(A203,BAR!A:I,8,FALSE)),"",VLOOKUP(A203,BAR!A:I,8,FALSE)))</f>
        <v/>
      </c>
    </row>
    <row r="204" spans="1:2">
      <c r="A204" t="str" cm="1">
        <f t="array" ref="A204">IFERROR(INDEX(BAR!A:A,SMALL(IF((LEFT(BAR!A$2:A$1048576,3)="SRT")+(LEFT(BAR!A$2:A$1048576,3)="PAS"),ROW(BAR!A$2:A$1048576)),ROW()-1)),"")</f>
        <v/>
      </c>
      <c r="B204" t="str">
        <f>IF(COUNTBLANK(A204),"",IF(ISBLANK(VLOOKUP(A204,BAR!A:I,8,FALSE)),"",VLOOKUP(A204,BAR!A:I,8,FALSE)))</f>
        <v/>
      </c>
    </row>
    <row r="205" spans="1:2">
      <c r="A205" t="str" cm="1">
        <f t="array" ref="A205">IFERROR(INDEX(BAR!A:A,SMALL(IF((LEFT(BAR!A$2:A$1048576,3)="SRT")+(LEFT(BAR!A$2:A$1048576,3)="PAS"),ROW(BAR!A$2:A$1048576)),ROW()-1)),"")</f>
        <v/>
      </c>
      <c r="B205" t="str">
        <f>IF(COUNTBLANK(A205),"",IF(ISBLANK(VLOOKUP(A205,BAR!A:I,8,FALSE)),"",VLOOKUP(A205,BAR!A:I,8,FALSE)))</f>
        <v/>
      </c>
    </row>
    <row r="206" spans="1:2">
      <c r="A206" t="str" cm="1">
        <f t="array" ref="A206">IFERROR(INDEX(BAR!A:A,SMALL(IF((LEFT(BAR!A$2:A$1048576,3)="SRT")+(LEFT(BAR!A$2:A$1048576,3)="PAS"),ROW(BAR!A$2:A$1048576)),ROW()-1)),"")</f>
        <v/>
      </c>
      <c r="B206" t="str">
        <f>IF(COUNTBLANK(A206),"",IF(ISBLANK(VLOOKUP(A206,BAR!A:I,8,FALSE)),"",VLOOKUP(A206,BAR!A:I,8,FALSE)))</f>
        <v/>
      </c>
    </row>
    <row r="207" spans="1:2">
      <c r="A207" t="str" cm="1">
        <f t="array" ref="A207">IFERROR(INDEX(BAR!A:A,SMALL(IF((LEFT(BAR!A$2:A$1048576,3)="SRT")+(LEFT(BAR!A$2:A$1048576,3)="PAS"),ROW(BAR!A$2:A$1048576)),ROW()-1)),"")</f>
        <v/>
      </c>
      <c r="B207" t="str">
        <f>IF(COUNTBLANK(A207),"",IF(ISBLANK(VLOOKUP(A207,BAR!A:I,8,FALSE)),"",VLOOKUP(A207,BAR!A:I,8,FALSE)))</f>
        <v/>
      </c>
    </row>
    <row r="208" spans="1:2">
      <c r="A208" t="str" cm="1">
        <f t="array" ref="A208">IFERROR(INDEX(BAR!A:A,SMALL(IF((LEFT(BAR!A$2:A$1048576,3)="SRT")+(LEFT(BAR!A$2:A$1048576,3)="PAS"),ROW(BAR!A$2:A$1048576)),ROW()-1)),"")</f>
        <v/>
      </c>
      <c r="B208" t="str">
        <f>IF(COUNTBLANK(A208),"",IF(ISBLANK(VLOOKUP(A208,BAR!A:I,8,FALSE)),"",VLOOKUP(A208,BAR!A:I,8,FALSE)))</f>
        <v/>
      </c>
    </row>
    <row r="209" spans="1:2">
      <c r="A209" t="str" cm="1">
        <f t="array" ref="A209">IFERROR(INDEX(BAR!A:A,SMALL(IF((LEFT(BAR!A$2:A$1048576,3)="SRT")+(LEFT(BAR!A$2:A$1048576,3)="PAS"),ROW(BAR!A$2:A$1048576)),ROW()-1)),"")</f>
        <v/>
      </c>
      <c r="B209" t="str">
        <f>IF(COUNTBLANK(A209),"",IF(ISBLANK(VLOOKUP(A209,BAR!A:I,8,FALSE)),"",VLOOKUP(A209,BAR!A:I,8,FALSE)))</f>
        <v/>
      </c>
    </row>
    <row r="210" spans="1:2">
      <c r="A210" t="str" cm="1">
        <f t="array" ref="A210">IFERROR(INDEX(BAR!A:A,SMALL(IF((LEFT(BAR!A$2:A$1048576,3)="SRT")+(LEFT(BAR!A$2:A$1048576,3)="PAS"),ROW(BAR!A$2:A$1048576)),ROW()-1)),"")</f>
        <v/>
      </c>
      <c r="B210" t="str">
        <f>IF(COUNTBLANK(A210),"",IF(ISBLANK(VLOOKUP(A210,BAR!A:I,8,FALSE)),"",VLOOKUP(A210,BAR!A:I,8,FALSE)))</f>
        <v/>
      </c>
    </row>
    <row r="211" spans="1:2">
      <c r="A211" t="str" cm="1">
        <f t="array" ref="A211">IFERROR(INDEX(BAR!A:A,SMALL(IF((LEFT(BAR!A$2:A$1048576,3)="SRT")+(LEFT(BAR!A$2:A$1048576,3)="PAS"),ROW(BAR!A$2:A$1048576)),ROW()-1)),"")</f>
        <v/>
      </c>
      <c r="B211" t="str">
        <f>IF(COUNTBLANK(A211),"",IF(ISBLANK(VLOOKUP(A211,BAR!A:I,8,FALSE)),"",VLOOKUP(A211,BAR!A:I,8,FALSE)))</f>
        <v/>
      </c>
    </row>
    <row r="212" spans="1:2">
      <c r="A212" t="str" cm="1">
        <f t="array" ref="A212">IFERROR(INDEX(BAR!A:A,SMALL(IF((LEFT(BAR!A$2:A$1048576,3)="SRT")+(LEFT(BAR!A$2:A$1048576,3)="PAS"),ROW(BAR!A$2:A$1048576)),ROW()-1)),"")</f>
        <v/>
      </c>
      <c r="B212" t="str">
        <f>IF(COUNTBLANK(A212),"",IF(ISBLANK(VLOOKUP(A212,BAR!A:I,8,FALSE)),"",VLOOKUP(A212,BAR!A:I,8,FALSE)))</f>
        <v/>
      </c>
    </row>
    <row r="213" spans="1:2">
      <c r="A213" t="str" cm="1">
        <f t="array" ref="A213">IFERROR(INDEX(BAR!A:A,SMALL(IF((LEFT(BAR!A$2:A$1048576,3)="SRT")+(LEFT(BAR!A$2:A$1048576,3)="PAS"),ROW(BAR!A$2:A$1048576)),ROW()-1)),"")</f>
        <v/>
      </c>
      <c r="B213" t="str">
        <f>IF(COUNTBLANK(A213),"",IF(ISBLANK(VLOOKUP(A213,BAR!A:I,8,FALSE)),"",VLOOKUP(A213,BAR!A:I,8,FALSE)))</f>
        <v/>
      </c>
    </row>
    <row r="214" spans="1:2">
      <c r="A214" t="str" cm="1">
        <f t="array" ref="A214">IFERROR(INDEX(BAR!A:A,SMALL(IF((LEFT(BAR!A$2:A$1048576,3)="SRT")+(LEFT(BAR!A$2:A$1048576,3)="PAS"),ROW(BAR!A$2:A$1048576)),ROW()-1)),"")</f>
        <v/>
      </c>
      <c r="B214" t="str">
        <f>IF(COUNTBLANK(A214),"",IF(ISBLANK(VLOOKUP(A214,BAR!A:I,8,FALSE)),"",VLOOKUP(A214,BAR!A:I,8,FALSE)))</f>
        <v/>
      </c>
    </row>
    <row r="215" spans="1:2">
      <c r="A215" t="str" cm="1">
        <f t="array" ref="A215">IFERROR(INDEX(BAR!A:A,SMALL(IF((LEFT(BAR!A$2:A$1048576,3)="SRT")+(LEFT(BAR!A$2:A$1048576,3)="PAS"),ROW(BAR!A$2:A$1048576)),ROW()-1)),"")</f>
        <v/>
      </c>
      <c r="B215" t="str">
        <f>IF(COUNTBLANK(A215),"",IF(ISBLANK(VLOOKUP(A215,BAR!A:I,8,FALSE)),"",VLOOKUP(A215,BAR!A:I,8,FALSE)))</f>
        <v/>
      </c>
    </row>
    <row r="216" spans="1:2">
      <c r="A216" t="str" cm="1">
        <f t="array" ref="A216">IFERROR(INDEX(BAR!A:A,SMALL(IF((LEFT(BAR!A$2:A$1048576,3)="SRT")+(LEFT(BAR!A$2:A$1048576,3)="PAS"),ROW(BAR!A$2:A$1048576)),ROW()-1)),"")</f>
        <v/>
      </c>
      <c r="B216" t="str">
        <f>IF(COUNTBLANK(A216),"",IF(ISBLANK(VLOOKUP(A216,BAR!A:I,8,FALSE)),"",VLOOKUP(A216,BAR!A:I,8,FALSE)))</f>
        <v/>
      </c>
    </row>
    <row r="217" spans="1:2">
      <c r="A217" t="str" cm="1">
        <f t="array" ref="A217">IFERROR(INDEX(BAR!A:A,SMALL(IF((LEFT(BAR!A$2:A$1048576,3)="SRT")+(LEFT(BAR!A$2:A$1048576,3)="PAS"),ROW(BAR!A$2:A$1048576)),ROW()-1)),"")</f>
        <v/>
      </c>
      <c r="B217" t="str">
        <f>IF(COUNTBLANK(A217),"",IF(ISBLANK(VLOOKUP(A217,BAR!A:I,8,FALSE)),"",VLOOKUP(A217,BAR!A:I,8,FALSE)))</f>
        <v/>
      </c>
    </row>
    <row r="218" spans="1:2">
      <c r="A218" t="str" cm="1">
        <f t="array" ref="A218">IFERROR(INDEX(BAR!A:A,SMALL(IF((LEFT(BAR!A$2:A$1048576,3)="SRT")+(LEFT(BAR!A$2:A$1048576,3)="PAS"),ROW(BAR!A$2:A$1048576)),ROW()-1)),"")</f>
        <v/>
      </c>
      <c r="B218" t="str">
        <f>IF(COUNTBLANK(A218),"",IF(ISBLANK(VLOOKUP(A218,BAR!A:I,8,FALSE)),"",VLOOKUP(A218,BAR!A:I,8,FALSE)))</f>
        <v/>
      </c>
    </row>
    <row r="219" spans="1:2">
      <c r="A219" t="str" cm="1">
        <f t="array" ref="A219">IFERROR(INDEX(BAR!A:A,SMALL(IF((LEFT(BAR!A$2:A$1048576,3)="SRT")+(LEFT(BAR!A$2:A$1048576,3)="PAS"),ROW(BAR!A$2:A$1048576)),ROW()-1)),"")</f>
        <v/>
      </c>
      <c r="B219" t="str">
        <f>IF(COUNTBLANK(A219),"",IF(ISBLANK(VLOOKUP(A219,BAR!A:I,8,FALSE)),"",VLOOKUP(A219,BAR!A:I,8,FALSE)))</f>
        <v/>
      </c>
    </row>
    <row r="220" spans="1:2">
      <c r="A220" t="str" cm="1">
        <f t="array" ref="A220">IFERROR(INDEX(BAR!A:A,SMALL(IF((LEFT(BAR!A$2:A$1048576,3)="SRT")+(LEFT(BAR!A$2:A$1048576,3)="PAS"),ROW(BAR!A$2:A$1048576)),ROW()-1)),"")</f>
        <v/>
      </c>
      <c r="B220" t="str">
        <f>IF(COUNTBLANK(A220),"",IF(ISBLANK(VLOOKUP(A220,BAR!A:I,8,FALSE)),"",VLOOKUP(A220,BAR!A:I,8,FALSE)))</f>
        <v/>
      </c>
    </row>
    <row r="221" spans="1:2">
      <c r="A221" t="str" cm="1">
        <f t="array" ref="A221">IFERROR(INDEX(BAR!A:A,SMALL(IF((LEFT(BAR!A$2:A$1048576,3)="SRT")+(LEFT(BAR!A$2:A$1048576,3)="PAS"),ROW(BAR!A$2:A$1048576)),ROW()-1)),"")</f>
        <v/>
      </c>
      <c r="B221" t="str">
        <f>IF(COUNTBLANK(A221),"",IF(ISBLANK(VLOOKUP(A221,BAR!A:I,8,FALSE)),"",VLOOKUP(A221,BAR!A:I,8,FALSE)))</f>
        <v/>
      </c>
    </row>
    <row r="222" spans="1:2">
      <c r="A222" t="str" cm="1">
        <f t="array" ref="A222">IFERROR(INDEX(BAR!A:A,SMALL(IF((LEFT(BAR!A$2:A$1048576,3)="SRT")+(LEFT(BAR!A$2:A$1048576,3)="PAS"),ROW(BAR!A$2:A$1048576)),ROW()-1)),"")</f>
        <v/>
      </c>
      <c r="B222" t="str">
        <f>IF(COUNTBLANK(A222),"",IF(ISBLANK(VLOOKUP(A222,BAR!A:I,8,FALSE)),"",VLOOKUP(A222,BAR!A:I,8,FALSE)))</f>
        <v/>
      </c>
    </row>
    <row r="223" spans="1:2">
      <c r="A223" t="str" cm="1">
        <f t="array" ref="A223">IFERROR(INDEX(BAR!A:A,SMALL(IF((LEFT(BAR!A$2:A$1048576,3)="SRT")+(LEFT(BAR!A$2:A$1048576,3)="PAS"),ROW(BAR!A$2:A$1048576)),ROW()-1)),"")</f>
        <v/>
      </c>
      <c r="B223" t="str">
        <f>IF(COUNTBLANK(A223),"",IF(ISBLANK(VLOOKUP(A223,BAR!A:I,8,FALSE)),"",VLOOKUP(A223,BAR!A:I,8,FALSE)))</f>
        <v/>
      </c>
    </row>
    <row r="224" spans="1:2">
      <c r="A224" t="str" cm="1">
        <f t="array" ref="A224">IFERROR(INDEX(BAR!A:A,SMALL(IF((LEFT(BAR!A$2:A$1048576,3)="SRT")+(LEFT(BAR!A$2:A$1048576,3)="PAS"),ROW(BAR!A$2:A$1048576)),ROW()-1)),"")</f>
        <v/>
      </c>
      <c r="B224" t="str">
        <f>IF(COUNTBLANK(A224),"",IF(ISBLANK(VLOOKUP(A224,BAR!A:I,8,FALSE)),"",VLOOKUP(A224,BAR!A:I,8,FALSE)))</f>
        <v/>
      </c>
    </row>
    <row r="225" spans="1:2">
      <c r="A225" t="str" cm="1">
        <f t="array" ref="A225">IFERROR(INDEX(BAR!A:A,SMALL(IF((LEFT(BAR!A$2:A$1048576,3)="SRT")+(LEFT(BAR!A$2:A$1048576,3)="PAS"),ROW(BAR!A$2:A$1048576)),ROW()-1)),"")</f>
        <v/>
      </c>
      <c r="B225" t="str">
        <f>IF(COUNTBLANK(A225),"",IF(ISBLANK(VLOOKUP(A225,BAR!A:I,8,FALSE)),"",VLOOKUP(A225,BAR!A:I,8,FALSE)))</f>
        <v/>
      </c>
    </row>
    <row r="226" spans="1:2">
      <c r="A226" t="str" cm="1">
        <f t="array" ref="A226">IFERROR(INDEX(BAR!A:A,SMALL(IF((LEFT(BAR!A$2:A$1048576,3)="SRT")+(LEFT(BAR!A$2:A$1048576,3)="PAS"),ROW(BAR!A$2:A$1048576)),ROW()-1)),"")</f>
        <v/>
      </c>
      <c r="B226" t="str">
        <f>IF(COUNTBLANK(A226),"",IF(ISBLANK(VLOOKUP(A226,BAR!A:I,8,FALSE)),"",VLOOKUP(A226,BAR!A:I,8,FALSE)))</f>
        <v/>
      </c>
    </row>
    <row r="227" spans="1:2">
      <c r="A227" t="str" cm="1">
        <f t="array" ref="A227">IFERROR(INDEX(BAR!A:A,SMALL(IF((LEFT(BAR!A$2:A$1048576,3)="SRT")+(LEFT(BAR!A$2:A$1048576,3)="PAS"),ROW(BAR!A$2:A$1048576)),ROW()-1)),"")</f>
        <v/>
      </c>
      <c r="B227" t="str">
        <f>IF(COUNTBLANK(A227),"",IF(ISBLANK(VLOOKUP(A227,BAR!A:I,8,FALSE)),"",VLOOKUP(A227,BAR!A:I,8,FALSE)))</f>
        <v/>
      </c>
    </row>
    <row r="228" spans="1:2">
      <c r="A228" t="str" cm="1">
        <f t="array" ref="A228">IFERROR(INDEX(BAR!A:A,SMALL(IF((LEFT(BAR!A$2:A$1048576,3)="SRT")+(LEFT(BAR!A$2:A$1048576,3)="PAS"),ROW(BAR!A$2:A$1048576)),ROW()-1)),"")</f>
        <v/>
      </c>
      <c r="B228" t="str">
        <f>IF(COUNTBLANK(A228),"",IF(ISBLANK(VLOOKUP(A228,BAR!A:I,8,FALSE)),"",VLOOKUP(A228,BAR!A:I,8,FALSE)))</f>
        <v/>
      </c>
    </row>
    <row r="229" spans="1:2">
      <c r="A229" t="str" cm="1">
        <f t="array" ref="A229">IFERROR(INDEX(BAR!A:A,SMALL(IF((LEFT(BAR!A$2:A$1048576,3)="SRT")+(LEFT(BAR!A$2:A$1048576,3)="PAS"),ROW(BAR!A$2:A$1048576)),ROW()-1)),"")</f>
        <v/>
      </c>
      <c r="B229" t="str">
        <f>IF(COUNTBLANK(A229),"",IF(ISBLANK(VLOOKUP(A229,BAR!A:I,8,FALSE)),"",VLOOKUP(A229,BAR!A:I,8,FALSE)))</f>
        <v/>
      </c>
    </row>
    <row r="230" spans="1:2">
      <c r="A230" t="str" cm="1">
        <f t="array" ref="A230">IFERROR(INDEX(BAR!A:A,SMALL(IF((LEFT(BAR!A$2:A$1048576,3)="SRT")+(LEFT(BAR!A$2:A$1048576,3)="PAS"),ROW(BAR!A$2:A$1048576)),ROW()-1)),"")</f>
        <v/>
      </c>
      <c r="B230" t="str">
        <f>IF(COUNTBLANK(A230),"",IF(ISBLANK(VLOOKUP(A230,BAR!A:I,8,FALSE)),"",VLOOKUP(A230,BAR!A:I,8,FALSE)))</f>
        <v/>
      </c>
    </row>
    <row r="231" spans="1:2">
      <c r="A231" t="str" cm="1">
        <f t="array" ref="A231">IFERROR(INDEX(BAR!A:A,SMALL(IF((LEFT(BAR!A$2:A$1048576,3)="SRT")+(LEFT(BAR!A$2:A$1048576,3)="PAS"),ROW(BAR!A$2:A$1048576)),ROW()-1)),"")</f>
        <v/>
      </c>
      <c r="B231" t="str">
        <f>IF(COUNTBLANK(A231),"",IF(ISBLANK(VLOOKUP(A231,BAR!A:I,8,FALSE)),"",VLOOKUP(A231,BAR!A:I,8,FALSE)))</f>
        <v/>
      </c>
    </row>
    <row r="232" spans="1:2">
      <c r="A232" t="str" cm="1">
        <f t="array" ref="A232">IFERROR(INDEX(BAR!A:A,SMALL(IF((LEFT(BAR!A$2:A$1048576,3)="SRT")+(LEFT(BAR!A$2:A$1048576,3)="PAS"),ROW(BAR!A$2:A$1048576)),ROW()-1)),"")</f>
        <v/>
      </c>
      <c r="B232" t="str">
        <f>IF(COUNTBLANK(A232),"",IF(ISBLANK(VLOOKUP(A232,BAR!A:I,8,FALSE)),"",VLOOKUP(A232,BAR!A:I,8,FALSE)))</f>
        <v/>
      </c>
    </row>
    <row r="233" spans="1:2">
      <c r="A233" t="str" cm="1">
        <f t="array" ref="A233">IFERROR(INDEX(BAR!A:A,SMALL(IF((LEFT(BAR!A$2:A$1048576,3)="SRT")+(LEFT(BAR!A$2:A$1048576,3)="PAS"),ROW(BAR!A$2:A$1048576)),ROW()-1)),"")</f>
        <v/>
      </c>
      <c r="B233" t="str">
        <f>IF(COUNTBLANK(A233),"",IF(ISBLANK(VLOOKUP(A233,BAR!A:I,8,FALSE)),"",VLOOKUP(A233,BAR!A:I,8,FALSE)))</f>
        <v/>
      </c>
    </row>
    <row r="234" spans="1:2">
      <c r="A234" t="str" cm="1">
        <f t="array" ref="A234">IFERROR(INDEX(BAR!A:A,SMALL(IF((LEFT(BAR!A$2:A$1048576,3)="SRT")+(LEFT(BAR!A$2:A$1048576,3)="PAS"),ROW(BAR!A$2:A$1048576)),ROW()-1)),"")</f>
        <v/>
      </c>
      <c r="B234" t="str">
        <f>IF(COUNTBLANK(A234),"",IF(ISBLANK(VLOOKUP(A234,BAR!A:I,8,FALSE)),"",VLOOKUP(A234,BAR!A:I,8,FALSE)))</f>
        <v/>
      </c>
    </row>
    <row r="235" spans="1:2">
      <c r="A235" t="str" cm="1">
        <f t="array" ref="A235">IFERROR(INDEX(BAR!A:A,SMALL(IF((LEFT(BAR!A$2:A$1048576,3)="SRT")+(LEFT(BAR!A$2:A$1048576,3)="PAS"),ROW(BAR!A$2:A$1048576)),ROW()-1)),"")</f>
        <v/>
      </c>
      <c r="B235" t="str">
        <f>IF(COUNTBLANK(A235),"",IF(ISBLANK(VLOOKUP(A235,BAR!A:I,8,FALSE)),"",VLOOKUP(A235,BAR!A:I,8,FALSE)))</f>
        <v/>
      </c>
    </row>
    <row r="236" spans="1:2">
      <c r="A236" t="str" cm="1">
        <f t="array" ref="A236">IFERROR(INDEX(BAR!A:A,SMALL(IF((LEFT(BAR!A$2:A$1048576,3)="SRT")+(LEFT(BAR!A$2:A$1048576,3)="PAS"),ROW(BAR!A$2:A$1048576)),ROW()-1)),"")</f>
        <v/>
      </c>
      <c r="B236" t="str">
        <f>IF(COUNTBLANK(A236),"",IF(ISBLANK(VLOOKUP(A236,BAR!A:I,8,FALSE)),"",VLOOKUP(A236,BAR!A:I,8,FALSE)))</f>
        <v/>
      </c>
    </row>
    <row r="237" spans="1:2">
      <c r="A237" t="str" cm="1">
        <f t="array" ref="A237">IFERROR(INDEX(BAR!A:A,SMALL(IF((LEFT(BAR!A$2:A$1048576,3)="SRT")+(LEFT(BAR!A$2:A$1048576,3)="PAS"),ROW(BAR!A$2:A$1048576)),ROW()-1)),"")</f>
        <v/>
      </c>
      <c r="B237" t="str">
        <f>IF(COUNTBLANK(A237),"",IF(ISBLANK(VLOOKUP(A237,BAR!A:I,8,FALSE)),"",VLOOKUP(A237,BAR!A:I,8,FALSE)))</f>
        <v/>
      </c>
    </row>
    <row r="238" spans="1:2">
      <c r="A238" t="str" cm="1">
        <f t="array" ref="A238">IFERROR(INDEX(BAR!A:A,SMALL(IF((LEFT(BAR!A$2:A$1048576,3)="SRT")+(LEFT(BAR!A$2:A$1048576,3)="PAS"),ROW(BAR!A$2:A$1048576)),ROW()-1)),"")</f>
        <v/>
      </c>
      <c r="B238" t="str">
        <f>IF(COUNTBLANK(A238),"",IF(ISBLANK(VLOOKUP(A238,BAR!A:I,8,FALSE)),"",VLOOKUP(A238,BAR!A:I,8,FALSE)))</f>
        <v/>
      </c>
    </row>
    <row r="239" spans="1:2">
      <c r="A239" t="str" cm="1">
        <f t="array" ref="A239">IFERROR(INDEX(BAR!A:A,SMALL(IF((LEFT(BAR!A$2:A$1048576,3)="SRT")+(LEFT(BAR!A$2:A$1048576,3)="PAS"),ROW(BAR!A$2:A$1048576)),ROW()-1)),"")</f>
        <v/>
      </c>
      <c r="B239" t="str">
        <f>IF(COUNTBLANK(A239),"",IF(ISBLANK(VLOOKUP(A239,BAR!A:I,8,FALSE)),"",VLOOKUP(A239,BAR!A:I,8,FALSE)))</f>
        <v/>
      </c>
    </row>
    <row r="240" spans="1:2">
      <c r="A240" t="str" cm="1">
        <f t="array" ref="A240">IFERROR(INDEX(BAR!A:A,SMALL(IF((LEFT(BAR!A$2:A$1048576,3)="SRT")+(LEFT(BAR!A$2:A$1048576,3)="PAS"),ROW(BAR!A$2:A$1048576)),ROW()-1)),"")</f>
        <v/>
      </c>
      <c r="B240" t="str">
        <f>IF(COUNTBLANK(A240),"",IF(ISBLANK(VLOOKUP(A240,BAR!A:I,8,FALSE)),"",VLOOKUP(A240,BAR!A:I,8,FALSE)))</f>
        <v/>
      </c>
    </row>
    <row r="241" spans="1:2">
      <c r="A241" t="str" cm="1">
        <f t="array" ref="A241">IFERROR(INDEX(BAR!A:A,SMALL(IF((LEFT(BAR!A$2:A$1048576,3)="SRT")+(LEFT(BAR!A$2:A$1048576,3)="PAS"),ROW(BAR!A$2:A$1048576)),ROW()-1)),"")</f>
        <v/>
      </c>
      <c r="B241" t="str">
        <f>IF(COUNTBLANK(A241),"",IF(ISBLANK(VLOOKUP(A241,BAR!A:I,8,FALSE)),"",VLOOKUP(A241,BAR!A:I,8,FALSE)))</f>
        <v/>
      </c>
    </row>
    <row r="242" spans="1:2">
      <c r="A242" t="str" cm="1">
        <f t="array" ref="A242">IFERROR(INDEX(BAR!A:A,SMALL(IF((LEFT(BAR!A$2:A$1048576,3)="SRT")+(LEFT(BAR!A$2:A$1048576,3)="PAS"),ROW(BAR!A$2:A$1048576)),ROW()-1)),"")</f>
        <v/>
      </c>
      <c r="B242" t="str">
        <f>IF(COUNTBLANK(A242),"",IF(ISBLANK(VLOOKUP(A242,BAR!A:I,8,FALSE)),"",VLOOKUP(A242,BAR!A:I,8,FALSE)))</f>
        <v/>
      </c>
    </row>
    <row r="243" spans="1:2">
      <c r="A243" t="str" cm="1">
        <f t="array" ref="A243">IFERROR(INDEX(BAR!A:A,SMALL(IF((LEFT(BAR!A$2:A$1048576,3)="SRT")+(LEFT(BAR!A$2:A$1048576,3)="PAS"),ROW(BAR!A$2:A$1048576)),ROW()-1)),"")</f>
        <v/>
      </c>
      <c r="B243" t="str">
        <f>IF(COUNTBLANK(A243),"",IF(ISBLANK(VLOOKUP(A243,BAR!A:I,8,FALSE)),"",VLOOKUP(A243,BAR!A:I,8,FALSE)))</f>
        <v/>
      </c>
    </row>
    <row r="244" spans="1:2">
      <c r="A244" t="str" cm="1">
        <f t="array" ref="A244">IFERROR(INDEX(BAR!A:A,SMALL(IF((LEFT(BAR!A$2:A$1048576,3)="SRT")+(LEFT(BAR!A$2:A$1048576,3)="PAS"),ROW(BAR!A$2:A$1048576)),ROW()-1)),"")</f>
        <v/>
      </c>
      <c r="B244" t="str">
        <f>IF(COUNTBLANK(A244),"",IF(ISBLANK(VLOOKUP(A244,BAR!A:I,8,FALSE)),"",VLOOKUP(A244,BAR!A:I,8,FALSE)))</f>
        <v/>
      </c>
    </row>
    <row r="245" spans="1:2">
      <c r="A245" t="str" cm="1">
        <f t="array" ref="A245">IFERROR(INDEX(BAR!A:A,SMALL(IF((LEFT(BAR!A$2:A$1048576,3)="SRT")+(LEFT(BAR!A$2:A$1048576,3)="PAS"),ROW(BAR!A$2:A$1048576)),ROW()-1)),"")</f>
        <v/>
      </c>
      <c r="B245" t="str">
        <f>IF(COUNTBLANK(A245),"",IF(ISBLANK(VLOOKUP(A245,BAR!A:I,8,FALSE)),"",VLOOKUP(A245,BAR!A:I,8,FALSE)))</f>
        <v/>
      </c>
    </row>
    <row r="246" spans="1:2">
      <c r="A246" t="str" cm="1">
        <f t="array" ref="A246">IFERROR(INDEX(BAR!A:A,SMALL(IF((LEFT(BAR!A$2:A$1048576,3)="SRT")+(LEFT(BAR!A$2:A$1048576,3)="PAS"),ROW(BAR!A$2:A$1048576)),ROW()-1)),"")</f>
        <v/>
      </c>
      <c r="B246" t="str">
        <f>IF(COUNTBLANK(A246),"",IF(ISBLANK(VLOOKUP(A246,BAR!A:I,8,FALSE)),"",VLOOKUP(A246,BAR!A:I,8,FALSE)))</f>
        <v/>
      </c>
    </row>
    <row r="247" spans="1:2">
      <c r="A247" t="str" cm="1">
        <f t="array" ref="A247">IFERROR(INDEX(BAR!A:A,SMALL(IF((LEFT(BAR!A$2:A$1048576,3)="SRT")+(LEFT(BAR!A$2:A$1048576,3)="PAS"),ROW(BAR!A$2:A$1048576)),ROW()-1)),"")</f>
        <v/>
      </c>
      <c r="B247" t="str">
        <f>IF(COUNTBLANK(A247),"",IF(ISBLANK(VLOOKUP(A247,BAR!A:I,8,FALSE)),"",VLOOKUP(A247,BAR!A:I,8,FALSE)))</f>
        <v/>
      </c>
    </row>
    <row r="248" spans="1:2">
      <c r="A248" t="str" cm="1">
        <f t="array" ref="A248">IFERROR(INDEX(BAR!A:A,SMALL(IF((LEFT(BAR!A$2:A$1048576,3)="SRT")+(LEFT(BAR!A$2:A$1048576,3)="PAS"),ROW(BAR!A$2:A$1048576)),ROW()-1)),"")</f>
        <v/>
      </c>
      <c r="B248" t="str">
        <f>IF(COUNTBLANK(A248),"",IF(ISBLANK(VLOOKUP(A248,BAR!A:I,8,FALSE)),"",VLOOKUP(A248,BAR!A:I,8,FALSE)))</f>
        <v/>
      </c>
    </row>
    <row r="249" spans="1:2">
      <c r="A249" t="str" cm="1">
        <f t="array" ref="A249">IFERROR(INDEX(BAR!A:A,SMALL(IF((LEFT(BAR!A$2:A$1048576,3)="SRT")+(LEFT(BAR!A$2:A$1048576,3)="PAS"),ROW(BAR!A$2:A$1048576)),ROW()-1)),"")</f>
        <v/>
      </c>
      <c r="B249" t="str">
        <f>IF(COUNTBLANK(A249),"",IF(ISBLANK(VLOOKUP(A249,BAR!A:I,8,FALSE)),"",VLOOKUP(A249,BAR!A:I,8,FALSE)))</f>
        <v/>
      </c>
    </row>
    <row r="250" spans="1:2">
      <c r="A250" t="str" cm="1">
        <f t="array" ref="A250">IFERROR(INDEX(BAR!A:A,SMALL(IF((LEFT(BAR!A$2:A$1048576,3)="SRT")+(LEFT(BAR!A$2:A$1048576,3)="PAS"),ROW(BAR!A$2:A$1048576)),ROW()-1)),"")</f>
        <v/>
      </c>
      <c r="B250" t="str">
        <f>IF(COUNTBLANK(A250),"",IF(ISBLANK(VLOOKUP(A250,BAR!A:I,8,FALSE)),"",VLOOKUP(A250,BAR!A:I,8,FALSE)))</f>
        <v/>
      </c>
    </row>
    <row r="251" spans="1:2">
      <c r="A251" t="str" cm="1">
        <f t="array" ref="A251">IFERROR(INDEX(BAR!A:A,SMALL(IF((LEFT(BAR!A$2:A$1048576,3)="SRT")+(LEFT(BAR!A$2:A$1048576,3)="PAS"),ROW(BAR!A$2:A$1048576)),ROW()-1)),"")</f>
        <v/>
      </c>
      <c r="B251" t="str">
        <f>IF(COUNTBLANK(A251),"",IF(ISBLANK(VLOOKUP(A251,BAR!A:I,8,FALSE)),"",VLOOKUP(A251,BAR!A:I,8,FALSE)))</f>
        <v/>
      </c>
    </row>
    <row r="252" spans="1:2">
      <c r="A252" t="str" cm="1">
        <f t="array" ref="A252">IFERROR(INDEX(BAR!A:A,SMALL(IF((LEFT(BAR!A$2:A$1048576,3)="SRT")+(LEFT(BAR!A$2:A$1048576,3)="PAS"),ROW(BAR!A$2:A$1048576)),ROW()-1)),"")</f>
        <v/>
      </c>
      <c r="B252" t="str">
        <f>IF(COUNTBLANK(A252),"",IF(ISBLANK(VLOOKUP(A252,BAR!A:I,8,FALSE)),"",VLOOKUP(A252,BAR!A:I,8,FALSE)))</f>
        <v/>
      </c>
    </row>
    <row r="253" spans="1:2">
      <c r="A253" t="str" cm="1">
        <f t="array" ref="A253">IFERROR(INDEX(BAR!A:A,SMALL(IF((LEFT(BAR!A$2:A$1048576,3)="SRT")+(LEFT(BAR!A$2:A$1048576,3)="PAS"),ROW(BAR!A$2:A$1048576)),ROW()-1)),"")</f>
        <v/>
      </c>
      <c r="B253" t="str">
        <f>IF(COUNTBLANK(A253),"",IF(ISBLANK(VLOOKUP(A253,BAR!A:I,8,FALSE)),"",VLOOKUP(A253,BAR!A:I,8,FALSE)))</f>
        <v/>
      </c>
    </row>
    <row r="254" spans="1:2">
      <c r="A254" t="str" cm="1">
        <f t="array" ref="A254">IFERROR(INDEX(BAR!A:A,SMALL(IF((LEFT(BAR!A$2:A$1048576,3)="SRT")+(LEFT(BAR!A$2:A$1048576,3)="PAS"),ROW(BAR!A$2:A$1048576)),ROW()-1)),"")</f>
        <v/>
      </c>
      <c r="B254" t="str">
        <f>IF(COUNTBLANK(A254),"",IF(ISBLANK(VLOOKUP(A254,BAR!A:I,8,FALSE)),"",VLOOKUP(A254,BAR!A:I,8,FALSE)))</f>
        <v/>
      </c>
    </row>
    <row r="255" spans="1:2">
      <c r="A255" t="str" cm="1">
        <f t="array" ref="A255">IFERROR(INDEX(BAR!A:A,SMALL(IF((LEFT(BAR!A$2:A$1048576,3)="SRT")+(LEFT(BAR!A$2:A$1048576,3)="PAS"),ROW(BAR!A$2:A$1048576)),ROW()-1)),"")</f>
        <v/>
      </c>
      <c r="B255" t="str">
        <f>IF(COUNTBLANK(A255),"",IF(ISBLANK(VLOOKUP(A255,BAR!A:I,8,FALSE)),"",VLOOKUP(A255,BAR!A:I,8,FALSE)))</f>
        <v/>
      </c>
    </row>
    <row r="256" spans="1:2">
      <c r="A256" t="str" cm="1">
        <f t="array" ref="A256">IFERROR(INDEX(BAR!A:A,SMALL(IF((LEFT(BAR!A$2:A$1048576,3)="SRT")+(LEFT(BAR!A$2:A$1048576,3)="PAS"),ROW(BAR!A$2:A$1048576)),ROW()-1)),"")</f>
        <v/>
      </c>
      <c r="B256" t="str">
        <f>IF(COUNTBLANK(A256),"",IF(ISBLANK(VLOOKUP(A256,BAR!A:I,8,FALSE)),"",VLOOKUP(A256,BAR!A:I,8,FALSE)))</f>
        <v/>
      </c>
    </row>
    <row r="257" spans="1:2">
      <c r="A257" t="str" cm="1">
        <f t="array" ref="A257">IFERROR(INDEX(BAR!A:A,SMALL(IF((LEFT(BAR!A$2:A$1048576,3)="SRT")+(LEFT(BAR!A$2:A$1048576,3)="PAS"),ROW(BAR!A$2:A$1048576)),ROW()-1)),"")</f>
        <v/>
      </c>
      <c r="B257" t="str">
        <f>IF(COUNTBLANK(A257),"",IF(ISBLANK(VLOOKUP(A257,BAR!A:I,8,FALSE)),"",VLOOKUP(A257,BAR!A:I,8,FALSE)))</f>
        <v/>
      </c>
    </row>
    <row r="258" spans="1:2">
      <c r="A258" t="str" cm="1">
        <f t="array" ref="A258">IFERROR(INDEX(BAR!A:A,SMALL(IF((LEFT(BAR!A$2:A$1048576,3)="SRT")+(LEFT(BAR!A$2:A$1048576,3)="PAS"),ROW(BAR!A$2:A$1048576)),ROW()-1)),"")</f>
        <v/>
      </c>
      <c r="B258" t="str">
        <f>IF(COUNTBLANK(A258),"",IF(ISBLANK(VLOOKUP(A258,BAR!A:I,8,FALSE)),"",VLOOKUP(A258,BAR!A:I,8,FALSE)))</f>
        <v/>
      </c>
    </row>
    <row r="259" spans="1:2">
      <c r="A259" t="str" cm="1">
        <f t="array" ref="A259">IFERROR(INDEX(BAR!A:A,SMALL(IF((LEFT(BAR!A$2:A$1048576,3)="SRT")+(LEFT(BAR!A$2:A$1048576,3)="PAS"),ROW(BAR!A$2:A$1048576)),ROW()-1)),"")</f>
        <v/>
      </c>
      <c r="B259" t="str">
        <f>IF(COUNTBLANK(A259),"",IF(ISBLANK(VLOOKUP(A259,BAR!A:I,8,FALSE)),"",VLOOKUP(A259,BAR!A:I,8,FALSE)))</f>
        <v/>
      </c>
    </row>
    <row r="260" spans="1:2">
      <c r="A260" t="str" cm="1">
        <f t="array" ref="A260">IFERROR(INDEX(BAR!A:A,SMALL(IF((LEFT(BAR!A$2:A$1048576,3)="SRT")+(LEFT(BAR!A$2:A$1048576,3)="PAS"),ROW(BAR!A$2:A$1048576)),ROW()-1)),"")</f>
        <v/>
      </c>
      <c r="B260" t="str">
        <f>IF(COUNTBLANK(A260),"",IF(ISBLANK(VLOOKUP(A260,BAR!A:I,8,FALSE)),"",VLOOKUP(A260,BAR!A:I,8,FALSE)))</f>
        <v/>
      </c>
    </row>
    <row r="261" spans="1:2">
      <c r="A261" t="str" cm="1">
        <f t="array" ref="A261">IFERROR(INDEX(BAR!A:A,SMALL(IF((LEFT(BAR!A$2:A$1048576,3)="SRT")+(LEFT(BAR!A$2:A$1048576,3)="PAS"),ROW(BAR!A$2:A$1048576)),ROW()-1)),"")</f>
        <v/>
      </c>
      <c r="B261" t="str">
        <f>IF(COUNTBLANK(A261),"",IF(ISBLANK(VLOOKUP(A261,BAR!A:I,8,FALSE)),"",VLOOKUP(A261,BAR!A:I,8,FALSE)))</f>
        <v/>
      </c>
    </row>
    <row r="262" spans="1:2">
      <c r="A262" t="str" cm="1">
        <f t="array" ref="A262">IFERROR(INDEX(BAR!A:A,SMALL(IF((LEFT(BAR!A$2:A$1048576,3)="SRT")+(LEFT(BAR!A$2:A$1048576,3)="PAS"),ROW(BAR!A$2:A$1048576)),ROW()-1)),"")</f>
        <v/>
      </c>
      <c r="B262" t="str">
        <f>IF(COUNTBLANK(A262),"",IF(ISBLANK(VLOOKUP(A262,BAR!A:I,8,FALSE)),"",VLOOKUP(A262,BAR!A:I,8,FALSE)))</f>
        <v/>
      </c>
    </row>
    <row r="263" spans="1:2">
      <c r="A263" t="str" cm="1">
        <f t="array" ref="A263">IFERROR(INDEX(BAR!A:A,SMALL(IF((LEFT(BAR!A$2:A$1048576,3)="SRT")+(LEFT(BAR!A$2:A$1048576,3)="PAS"),ROW(BAR!A$2:A$1048576)),ROW()-1)),"")</f>
        <v/>
      </c>
      <c r="B263" t="str">
        <f>IF(COUNTBLANK(A263),"",IF(ISBLANK(VLOOKUP(A263,BAR!A:I,8,FALSE)),"",VLOOKUP(A263,BAR!A:I,8,FALSE)))</f>
        <v/>
      </c>
    </row>
    <row r="264" spans="1:2">
      <c r="A264" t="str" cm="1">
        <f t="array" ref="A264">IFERROR(INDEX(BAR!A:A,SMALL(IF((LEFT(BAR!A$2:A$1048576,3)="SRT")+(LEFT(BAR!A$2:A$1048576,3)="PAS"),ROW(BAR!A$2:A$1048576)),ROW()-1)),"")</f>
        <v/>
      </c>
      <c r="B264" t="str">
        <f>IF(COUNTBLANK(A264),"",IF(ISBLANK(VLOOKUP(A264,BAR!A:I,8,FALSE)),"",VLOOKUP(A264,BAR!A:I,8,FALSE)))</f>
        <v/>
      </c>
    </row>
    <row r="265" spans="1:2">
      <c r="A265" t="str" cm="1">
        <f t="array" ref="A265">IFERROR(INDEX(BAR!A:A,SMALL(IF((LEFT(BAR!A$2:A$1048576,3)="SRT")+(LEFT(BAR!A$2:A$1048576,3)="PAS"),ROW(BAR!A$2:A$1048576)),ROW()-1)),"")</f>
        <v/>
      </c>
      <c r="B265" t="str">
        <f>IF(COUNTBLANK(A265),"",IF(ISBLANK(VLOOKUP(A265,BAR!A:I,8,FALSE)),"",VLOOKUP(A265,BAR!A:I,8,FALSE)))</f>
        <v/>
      </c>
    </row>
    <row r="266" spans="1:2">
      <c r="A266" t="str" cm="1">
        <f t="array" ref="A266">IFERROR(INDEX(BAR!A:A,SMALL(IF((LEFT(BAR!A$2:A$1048576,3)="SRT")+(LEFT(BAR!A$2:A$1048576,3)="PAS"),ROW(BAR!A$2:A$1048576)),ROW()-1)),"")</f>
        <v/>
      </c>
      <c r="B266" t="str">
        <f>IF(COUNTBLANK(A266),"",IF(ISBLANK(VLOOKUP(A266,BAR!A:I,8,FALSE)),"",VLOOKUP(A266,BAR!A:I,8,FALSE)))</f>
        <v/>
      </c>
    </row>
    <row r="267" spans="1:2">
      <c r="A267" t="str" cm="1">
        <f t="array" ref="A267">IFERROR(INDEX(BAR!A:A,SMALL(IF((LEFT(BAR!A$2:A$1048576,3)="SRT")+(LEFT(BAR!A$2:A$1048576,3)="PAS"),ROW(BAR!A$2:A$1048576)),ROW()-1)),"")</f>
        <v/>
      </c>
      <c r="B267" t="str">
        <f>IF(COUNTBLANK(A267),"",IF(ISBLANK(VLOOKUP(A267,BAR!A:I,8,FALSE)),"",VLOOKUP(A267,BAR!A:I,8,FALSE)))</f>
        <v/>
      </c>
    </row>
    <row r="268" spans="1:2">
      <c r="A268" t="str" cm="1">
        <f t="array" ref="A268">IFERROR(INDEX(BAR!A:A,SMALL(IF((LEFT(BAR!A$2:A$1048576,3)="SRT")+(LEFT(BAR!A$2:A$1048576,3)="PAS"),ROW(BAR!A$2:A$1048576)),ROW()-1)),"")</f>
        <v/>
      </c>
      <c r="B268" t="str">
        <f>IF(COUNTBLANK(A268),"",IF(ISBLANK(VLOOKUP(A268,BAR!A:I,8,FALSE)),"",VLOOKUP(A268,BAR!A:I,8,FALSE)))</f>
        <v/>
      </c>
    </row>
    <row r="269" spans="1:2">
      <c r="A269" t="str" cm="1">
        <f t="array" ref="A269">IFERROR(INDEX(BAR!A:A,SMALL(IF((LEFT(BAR!A$2:A$1048576,3)="SRT")+(LEFT(BAR!A$2:A$1048576,3)="PAS"),ROW(BAR!A$2:A$1048576)),ROW()-1)),"")</f>
        <v/>
      </c>
      <c r="B269" t="str">
        <f>IF(COUNTBLANK(A269),"",IF(ISBLANK(VLOOKUP(A269,BAR!A:I,8,FALSE)),"",VLOOKUP(A269,BAR!A:I,8,FALSE)))</f>
        <v/>
      </c>
    </row>
    <row r="270" spans="1:2">
      <c r="A270" t="str" cm="1">
        <f t="array" ref="A270">IFERROR(INDEX(BAR!A:A,SMALL(IF((LEFT(BAR!A$2:A$1048576,3)="SRT")+(LEFT(BAR!A$2:A$1048576,3)="PAS"),ROW(BAR!A$2:A$1048576)),ROW()-1)),"")</f>
        <v/>
      </c>
      <c r="B270" t="str">
        <f>IF(COUNTBLANK(A270),"",IF(ISBLANK(VLOOKUP(A270,BAR!A:I,8,FALSE)),"",VLOOKUP(A270,BAR!A:I,8,FALSE)))</f>
        <v/>
      </c>
    </row>
    <row r="271" spans="1:2">
      <c r="A271" t="str" cm="1">
        <f t="array" ref="A271">IFERROR(INDEX(BAR!A:A,SMALL(IF((LEFT(BAR!A$2:A$1048576,3)="SRT")+(LEFT(BAR!A$2:A$1048576,3)="PAS"),ROW(BAR!A$2:A$1048576)),ROW()-1)),"")</f>
        <v/>
      </c>
      <c r="B271" t="str">
        <f>IF(COUNTBLANK(A271),"",IF(ISBLANK(VLOOKUP(A271,BAR!A:I,8,FALSE)),"",VLOOKUP(A271,BAR!A:I,8,FALSE)))</f>
        <v/>
      </c>
    </row>
    <row r="272" spans="1:2">
      <c r="A272" t="str" cm="1">
        <f t="array" ref="A272">IFERROR(INDEX(BAR!A:A,SMALL(IF((LEFT(BAR!A$2:A$1048576,3)="SRT")+(LEFT(BAR!A$2:A$1048576,3)="PAS"),ROW(BAR!A$2:A$1048576)),ROW()-1)),"")</f>
        <v/>
      </c>
      <c r="B272" t="str">
        <f>IF(COUNTBLANK(A272),"",IF(ISBLANK(VLOOKUP(A272,BAR!A:I,8,FALSE)),"",VLOOKUP(A272,BAR!A:I,8,FALSE)))</f>
        <v/>
      </c>
    </row>
    <row r="273" spans="1:2">
      <c r="A273" t="str" cm="1">
        <f t="array" ref="A273">IFERROR(INDEX(BAR!A:A,SMALL(IF((LEFT(BAR!A$2:A$1048576,3)="SRT")+(LEFT(BAR!A$2:A$1048576,3)="PAS"),ROW(BAR!A$2:A$1048576)),ROW()-1)),"")</f>
        <v/>
      </c>
      <c r="B273" t="str">
        <f>IF(COUNTBLANK(A273),"",IF(ISBLANK(VLOOKUP(A273,BAR!A:I,8,FALSE)),"",VLOOKUP(A273,BAR!A:I,8,FALSE)))</f>
        <v/>
      </c>
    </row>
    <row r="274" spans="1:2">
      <c r="A274" t="str" cm="1">
        <f t="array" ref="A274">IFERROR(INDEX(BAR!A:A,SMALL(IF((LEFT(BAR!A$2:A$1048576,3)="SRT")+(LEFT(BAR!A$2:A$1048576,3)="PAS"),ROW(BAR!A$2:A$1048576)),ROW()-1)),"")</f>
        <v/>
      </c>
      <c r="B274" t="str">
        <f>IF(COUNTBLANK(A274),"",IF(ISBLANK(VLOOKUP(A274,BAR!A:I,8,FALSE)),"",VLOOKUP(A274,BAR!A:I,8,FALSE)))</f>
        <v/>
      </c>
    </row>
    <row r="275" spans="1:2">
      <c r="A275" t="str" cm="1">
        <f t="array" ref="A275">IFERROR(INDEX(BAR!A:A,SMALL(IF((LEFT(BAR!A$2:A$1048576,3)="SRT")+(LEFT(BAR!A$2:A$1048576,3)="PAS"),ROW(BAR!A$2:A$1048576)),ROW()-1)),"")</f>
        <v/>
      </c>
      <c r="B275" t="str">
        <f>IF(COUNTBLANK(A275),"",IF(ISBLANK(VLOOKUP(A275,BAR!A:I,8,FALSE)),"",VLOOKUP(A275,BAR!A:I,8,FALSE)))</f>
        <v/>
      </c>
    </row>
    <row r="276" spans="1:2">
      <c r="A276" t="str" cm="1">
        <f t="array" ref="A276">IFERROR(INDEX(BAR!A:A,SMALL(IF((LEFT(BAR!A$2:A$1048576,3)="SRT")+(LEFT(BAR!A$2:A$1048576,3)="PAS"),ROW(BAR!A$2:A$1048576)),ROW()-1)),"")</f>
        <v/>
      </c>
      <c r="B276" t="str">
        <f>IF(COUNTBLANK(A276),"",IF(ISBLANK(VLOOKUP(A276,BAR!A:I,8,FALSE)),"",VLOOKUP(A276,BAR!A:I,8,FALSE)))</f>
        <v/>
      </c>
    </row>
    <row r="277" spans="1:2">
      <c r="A277" t="str" cm="1">
        <f t="array" ref="A277">IFERROR(INDEX(BAR!A:A,SMALL(IF((LEFT(BAR!A$2:A$1048576,3)="SRT")+(LEFT(BAR!A$2:A$1048576,3)="PAS"),ROW(BAR!A$2:A$1048576)),ROW()-1)),"")</f>
        <v/>
      </c>
      <c r="B277" t="str">
        <f>IF(COUNTBLANK(A277),"",IF(ISBLANK(VLOOKUP(A277,BAR!A:I,8,FALSE)),"",VLOOKUP(A277,BAR!A:I,8,FALSE)))</f>
        <v/>
      </c>
    </row>
    <row r="278" spans="1:2">
      <c r="A278" t="str" cm="1">
        <f t="array" ref="A278">IFERROR(INDEX(BAR!A:A,SMALL(IF((LEFT(BAR!A$2:A$1048576,3)="SRT")+(LEFT(BAR!A$2:A$1048576,3)="PAS"),ROW(BAR!A$2:A$1048576)),ROW()-1)),"")</f>
        <v/>
      </c>
      <c r="B278" t="str">
        <f>IF(COUNTBLANK(A278),"",IF(ISBLANK(VLOOKUP(A278,BAR!A:I,8,FALSE)),"",VLOOKUP(A278,BAR!A:I,8,FALSE)))</f>
        <v/>
      </c>
    </row>
    <row r="279" spans="1:2">
      <c r="A279" t="str" cm="1">
        <f t="array" ref="A279">IFERROR(INDEX(BAR!A:A,SMALL(IF((LEFT(BAR!A$2:A$1048576,3)="SRT")+(LEFT(BAR!A$2:A$1048576,3)="PAS"),ROW(BAR!A$2:A$1048576)),ROW()-1)),"")</f>
        <v/>
      </c>
      <c r="B279" t="str">
        <f>IF(COUNTBLANK(A279),"",IF(ISBLANK(VLOOKUP(A279,BAR!A:I,8,FALSE)),"",VLOOKUP(A279,BAR!A:I,8,FALSE)))</f>
        <v/>
      </c>
    </row>
    <row r="280" spans="1:2">
      <c r="A280" t="str" cm="1">
        <f t="array" ref="A280">IFERROR(INDEX(BAR!A:A,SMALL(IF((LEFT(BAR!A$2:A$1048576,3)="SRT")+(LEFT(BAR!A$2:A$1048576,3)="PAS"),ROW(BAR!A$2:A$1048576)),ROW()-1)),"")</f>
        <v/>
      </c>
      <c r="B280" t="str">
        <f>IF(COUNTBLANK(A280),"",IF(ISBLANK(VLOOKUP(A280,BAR!A:I,8,FALSE)),"",VLOOKUP(A280,BAR!A:I,8,FALSE)))</f>
        <v/>
      </c>
    </row>
    <row r="281" spans="1:2">
      <c r="A281" t="str" cm="1">
        <f t="array" ref="A281">IFERROR(INDEX(BAR!A:A,SMALL(IF((LEFT(BAR!A$2:A$1048576,3)="SRT")+(LEFT(BAR!A$2:A$1048576,3)="PAS"),ROW(BAR!A$2:A$1048576)),ROW()-1)),"")</f>
        <v/>
      </c>
      <c r="B281" t="str">
        <f>IF(COUNTBLANK(A281),"",IF(ISBLANK(VLOOKUP(A281,BAR!A:I,8,FALSE)),"",VLOOKUP(A281,BAR!A:I,8,FALSE)))</f>
        <v/>
      </c>
    </row>
    <row r="282" spans="1:2">
      <c r="A282" t="str" cm="1">
        <f t="array" ref="A282">IFERROR(INDEX(BAR!A:A,SMALL(IF((LEFT(BAR!A$2:A$1048576,3)="SRT")+(LEFT(BAR!A$2:A$1048576,3)="PAS"),ROW(BAR!A$2:A$1048576)),ROW()-1)),"")</f>
        <v/>
      </c>
      <c r="B282" t="str">
        <f>IF(COUNTBLANK(A282),"",IF(ISBLANK(VLOOKUP(A282,BAR!A:I,8,FALSE)),"",VLOOKUP(A282,BAR!A:I,8,FALSE)))</f>
        <v/>
      </c>
    </row>
    <row r="283" spans="1:2">
      <c r="A283" t="str" cm="1">
        <f t="array" ref="A283">IFERROR(INDEX(BAR!A:A,SMALL(IF((LEFT(BAR!A$2:A$1048576,3)="SRT")+(LEFT(BAR!A$2:A$1048576,3)="PAS"),ROW(BAR!A$2:A$1048576)),ROW()-1)),"")</f>
        <v/>
      </c>
      <c r="B283" t="str">
        <f>IF(COUNTBLANK(A283),"",IF(ISBLANK(VLOOKUP(A283,BAR!A:I,8,FALSE)),"",VLOOKUP(A283,BAR!A:I,8,FALSE)))</f>
        <v/>
      </c>
    </row>
    <row r="284" spans="1:2">
      <c r="A284" t="str" cm="1">
        <f t="array" ref="A284">IFERROR(INDEX(BAR!A:A,SMALL(IF((LEFT(BAR!A$2:A$1048576,3)="SRT")+(LEFT(BAR!A$2:A$1048576,3)="PAS"),ROW(BAR!A$2:A$1048576)),ROW()-1)),"")</f>
        <v/>
      </c>
      <c r="B284" t="str">
        <f>IF(COUNTBLANK(A284),"",IF(ISBLANK(VLOOKUP(A284,BAR!A:I,8,FALSE)),"",VLOOKUP(A284,BAR!A:I,8,FALSE)))</f>
        <v/>
      </c>
    </row>
    <row r="285" spans="1:2">
      <c r="A285" t="str" cm="1">
        <f t="array" ref="A285">IFERROR(INDEX(BAR!A:A,SMALL(IF((LEFT(BAR!A$2:A$1048576,3)="SRT")+(LEFT(BAR!A$2:A$1048576,3)="PAS"),ROW(BAR!A$2:A$1048576)),ROW()-1)),"")</f>
        <v/>
      </c>
      <c r="B285" t="str">
        <f>IF(COUNTBLANK(A285),"",IF(ISBLANK(VLOOKUP(A285,BAR!A:I,8,FALSE)),"",VLOOKUP(A285,BAR!A:I,8,FALSE)))</f>
        <v/>
      </c>
    </row>
    <row r="286" spans="1:2">
      <c r="A286" t="str" cm="1">
        <f t="array" ref="A286">IFERROR(INDEX(BAR!A:A,SMALL(IF((LEFT(BAR!A$2:A$1048576,3)="SRT")+(LEFT(BAR!A$2:A$1048576,3)="PAS"),ROW(BAR!A$2:A$1048576)),ROW()-1)),"")</f>
        <v/>
      </c>
      <c r="B286" t="str">
        <f>IF(COUNTBLANK(A286),"",IF(ISBLANK(VLOOKUP(A286,BAR!A:I,8,FALSE)),"",VLOOKUP(A286,BAR!A:I,8,FALSE)))</f>
        <v/>
      </c>
    </row>
    <row r="287" spans="1:2">
      <c r="A287" t="str" cm="1">
        <f t="array" ref="A287">IFERROR(INDEX(BAR!A:A,SMALL(IF((LEFT(BAR!A$2:A$1048576,3)="SRT")+(LEFT(BAR!A$2:A$1048576,3)="PAS"),ROW(BAR!A$2:A$1048576)),ROW()-1)),"")</f>
        <v/>
      </c>
      <c r="B287" t="str">
        <f>IF(COUNTBLANK(A287),"",IF(ISBLANK(VLOOKUP(A287,BAR!A:I,8,FALSE)),"",VLOOKUP(A287,BAR!A:I,8,FALSE)))</f>
        <v/>
      </c>
    </row>
    <row r="288" spans="1:2">
      <c r="A288" t="str" cm="1">
        <f t="array" ref="A288">IFERROR(INDEX(BAR!A:A,SMALL(IF((LEFT(BAR!A$2:A$1048576,3)="SRT")+(LEFT(BAR!A$2:A$1048576,3)="PAS"),ROW(BAR!A$2:A$1048576)),ROW()-1)),"")</f>
        <v/>
      </c>
      <c r="B288" t="str">
        <f>IF(COUNTBLANK(A288),"",IF(ISBLANK(VLOOKUP(A288,BAR!A:I,8,FALSE)),"",VLOOKUP(A288,BAR!A:I,8,FALSE)))</f>
        <v/>
      </c>
    </row>
    <row r="289" spans="1:2">
      <c r="A289" t="str" cm="1">
        <f t="array" ref="A289">IFERROR(INDEX(BAR!A:A,SMALL(IF((LEFT(BAR!A$2:A$1048576,3)="SRT")+(LEFT(BAR!A$2:A$1048576,3)="PAS"),ROW(BAR!A$2:A$1048576)),ROW()-1)),"")</f>
        <v/>
      </c>
      <c r="B289" t="str">
        <f>IF(COUNTBLANK(A289),"",IF(ISBLANK(VLOOKUP(A289,BAR!A:I,8,FALSE)),"",VLOOKUP(A289,BAR!A:I,8,FALSE)))</f>
        <v/>
      </c>
    </row>
    <row r="290" spans="1:2">
      <c r="A290" t="str" cm="1">
        <f t="array" ref="A290">IFERROR(INDEX(BAR!A:A,SMALL(IF((LEFT(BAR!A$2:A$1048576,3)="SRT")+(LEFT(BAR!A$2:A$1048576,3)="PAS"),ROW(BAR!A$2:A$1048576)),ROW()-1)),"")</f>
        <v/>
      </c>
      <c r="B290" t="str">
        <f>IF(COUNTBLANK(A290),"",IF(ISBLANK(VLOOKUP(A290,BAR!A:I,8,FALSE)),"",VLOOKUP(A290,BAR!A:I,8,FALSE)))</f>
        <v/>
      </c>
    </row>
    <row r="291" spans="1:2">
      <c r="A291" t="str" cm="1">
        <f t="array" ref="A291">IFERROR(INDEX(BAR!A:A,SMALL(IF((LEFT(BAR!A$2:A$1048576,3)="SRT")+(LEFT(BAR!A$2:A$1048576,3)="PAS"),ROW(BAR!A$2:A$1048576)),ROW()-1)),"")</f>
        <v/>
      </c>
      <c r="B291" t="str">
        <f>IF(COUNTBLANK(A291),"",IF(ISBLANK(VLOOKUP(A291,BAR!A:I,8,FALSE)),"",VLOOKUP(A291,BAR!A:I,8,FALSE)))</f>
        <v/>
      </c>
    </row>
    <row r="292" spans="1:2">
      <c r="A292" t="str" cm="1">
        <f t="array" ref="A292">IFERROR(INDEX(BAR!A:A,SMALL(IF((LEFT(BAR!A$2:A$1048576,3)="SRT")+(LEFT(BAR!A$2:A$1048576,3)="PAS"),ROW(BAR!A$2:A$1048576)),ROW()-1)),"")</f>
        <v/>
      </c>
      <c r="B292" t="str">
        <f>IF(COUNTBLANK(A292),"",IF(ISBLANK(VLOOKUP(A292,BAR!A:I,8,FALSE)),"",VLOOKUP(A292,BAR!A:I,8,FALSE)))</f>
        <v/>
      </c>
    </row>
    <row r="293" spans="1:2">
      <c r="A293" t="str" cm="1">
        <f t="array" ref="A293">IFERROR(INDEX(BAR!A:A,SMALL(IF((LEFT(BAR!A$2:A$1048576,3)="SRT")+(LEFT(BAR!A$2:A$1048576,3)="PAS"),ROW(BAR!A$2:A$1048576)),ROW()-1)),"")</f>
        <v/>
      </c>
      <c r="B293" t="str">
        <f>IF(COUNTBLANK(A293),"",IF(ISBLANK(VLOOKUP(A293,BAR!A:I,8,FALSE)),"",VLOOKUP(A293,BAR!A:I,8,FALSE)))</f>
        <v/>
      </c>
    </row>
    <row r="294" spans="1:2">
      <c r="A294" t="str" cm="1">
        <f t="array" ref="A294">IFERROR(INDEX(BAR!A:A,SMALL(IF((LEFT(BAR!A$2:A$1048576,3)="SRT")+(LEFT(BAR!A$2:A$1048576,3)="PAS"),ROW(BAR!A$2:A$1048576)),ROW()-1)),"")</f>
        <v/>
      </c>
      <c r="B294" t="str">
        <f>IF(COUNTBLANK(A294),"",IF(ISBLANK(VLOOKUP(A294,BAR!A:I,8,FALSE)),"",VLOOKUP(A294,BAR!A:I,8,FALSE)))</f>
        <v/>
      </c>
    </row>
    <row r="295" spans="1:2">
      <c r="A295" t="str" cm="1">
        <f t="array" ref="A295">IFERROR(INDEX(BAR!A:A,SMALL(IF((LEFT(BAR!A$2:A$1048576,3)="SRT")+(LEFT(BAR!A$2:A$1048576,3)="PAS"),ROW(BAR!A$2:A$1048576)),ROW()-1)),"")</f>
        <v/>
      </c>
      <c r="B295" t="str">
        <f>IF(COUNTBLANK(A295),"",IF(ISBLANK(VLOOKUP(A295,BAR!A:I,8,FALSE)),"",VLOOKUP(A295,BAR!A:I,8,FALSE)))</f>
        <v/>
      </c>
    </row>
    <row r="296" spans="1:2">
      <c r="A296" t="str" cm="1">
        <f t="array" ref="A296">IFERROR(INDEX(BAR!A:A,SMALL(IF((LEFT(BAR!A$2:A$1048576,3)="SRT")+(LEFT(BAR!A$2:A$1048576,3)="PAS"),ROW(BAR!A$2:A$1048576)),ROW()-1)),"")</f>
        <v/>
      </c>
      <c r="B296" t="str">
        <f>IF(COUNTBLANK(A296),"",IF(ISBLANK(VLOOKUP(A296,BAR!A:I,8,FALSE)),"",VLOOKUP(A296,BAR!A:I,8,FALSE)))</f>
        <v/>
      </c>
    </row>
    <row r="297" spans="1:2">
      <c r="A297" t="str" cm="1">
        <f t="array" ref="A297">IFERROR(INDEX(BAR!A:A,SMALL(IF((LEFT(BAR!A$2:A$1048576,3)="SRT")+(LEFT(BAR!A$2:A$1048576,3)="PAS"),ROW(BAR!A$2:A$1048576)),ROW()-1)),"")</f>
        <v/>
      </c>
      <c r="B297" t="str">
        <f>IF(COUNTBLANK(A297),"",IF(ISBLANK(VLOOKUP(A297,BAR!A:I,8,FALSE)),"",VLOOKUP(A297,BAR!A:I,8,FALSE)))</f>
        <v/>
      </c>
    </row>
    <row r="298" spans="1:2">
      <c r="A298" t="str" cm="1">
        <f t="array" ref="A298">IFERROR(INDEX(BAR!A:A,SMALL(IF((LEFT(BAR!A$2:A$1048576,3)="SRT")+(LEFT(BAR!A$2:A$1048576,3)="PAS"),ROW(BAR!A$2:A$1048576)),ROW()-1)),"")</f>
        <v/>
      </c>
      <c r="B298" t="str">
        <f>IF(COUNTBLANK(A298),"",IF(ISBLANK(VLOOKUP(A298,BAR!A:I,8,FALSE)),"",VLOOKUP(A298,BAR!A:I,8,FALSE)))</f>
        <v/>
      </c>
    </row>
    <row r="299" spans="1:2">
      <c r="A299" t="str" cm="1">
        <f t="array" ref="A299">IFERROR(INDEX(BAR!A:A,SMALL(IF((LEFT(BAR!A$2:A$1048576,3)="SRT")+(LEFT(BAR!A$2:A$1048576,3)="PAS"),ROW(BAR!A$2:A$1048576)),ROW()-1)),"")</f>
        <v/>
      </c>
      <c r="B299" t="str">
        <f>IF(COUNTBLANK(A299),"",IF(ISBLANK(VLOOKUP(A299,BAR!A:I,8,FALSE)),"",VLOOKUP(A299,BAR!A:I,8,FALSE)))</f>
        <v/>
      </c>
    </row>
    <row r="300" spans="1:2">
      <c r="A300" t="str" cm="1">
        <f t="array" ref="A300">IFERROR(INDEX(BAR!A:A,SMALL(IF((LEFT(BAR!A$2:A$1048576,3)="SRT")+(LEFT(BAR!A$2:A$1048576,3)="PAS"),ROW(BAR!A$2:A$1048576)),ROW()-1)),"")</f>
        <v/>
      </c>
      <c r="B300" t="str">
        <f>IF(COUNTBLANK(A300),"",IF(ISBLANK(VLOOKUP(A300,BAR!A:I,8,FALSE)),"",VLOOKUP(A300,BAR!A:I,8,FALSE)))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9150-9DE3-C64E-B9E7-40DC0D8F36F0}">
  <dimension ref="A1:B300"/>
  <sheetViews>
    <sheetView workbookViewId="0">
      <selection activeCell="B3" sqref="B3"/>
    </sheetView>
  </sheetViews>
  <sheetFormatPr baseColWidth="10" defaultRowHeight="15"/>
  <cols>
    <col min="1" max="1" width="15.83203125" customWidth="1"/>
  </cols>
  <sheetData>
    <row r="1" spans="1:2">
      <c r="A1" s="1" t="s">
        <v>0</v>
      </c>
      <c r="B1" s="1" t="s">
        <v>1</v>
      </c>
    </row>
    <row r="2" spans="1:2">
      <c r="A2" t="str" cm="1">
        <f t="array" ref="A2">IFERROR(INDEX(BAR!A:A,SMALL(IF((LEFT(BAR!A$2:A$1048576,3)="SRT")+(LEFT(BAR!A$2:A$1048576,3)="PAS"),ROW(BAR!A$2:A$1048576)),ROW()-1)),"")</f>
        <v>SRTFC04020001</v>
      </c>
      <c r="B2">
        <f>IF(COUNTBLANK(A2),"",IF(ISBLANK(VLOOKUP(A2,BAR!A:I,7,FALSE)),"",VLOOKUP(A2,BAR!A:I,7,FALSE)))</f>
        <v>6</v>
      </c>
    </row>
    <row r="3" spans="1:2">
      <c r="A3" t="str" cm="1">
        <f t="array" ref="A3">IFERROR(INDEX(BAR!A:A,SMALL(IF((LEFT(BAR!A$2:A$1048576,3)="SRT")+(LEFT(BAR!A$2:A$1048576,3)="PAS"),ROW(BAR!A$2:A$1048576)),ROW()-1)),"")</f>
        <v>SRTFC04020045</v>
      </c>
      <c r="B3">
        <f>IF(COUNTBLANK(A3),"",IF(ISBLANK(VLOOKUP(A3,BAR!A:I,7,FALSE)),"",VLOOKUP(A3,BAR!A:I,7,FALSE)))</f>
        <v>12</v>
      </c>
    </row>
    <row r="4" spans="1:2">
      <c r="A4" t="str" cm="1">
        <f t="array" ref="A4">IFERROR(INDEX(BAR!A:A,SMALL(IF((LEFT(BAR!A$2:A$1048576,3)="SRT")+(LEFT(BAR!A$2:A$1048576,3)="PAS"),ROW(BAR!A$2:A$1048576)),ROW()-1)),"")</f>
        <v>SRTFC04020117</v>
      </c>
      <c r="B4">
        <f>IF(COUNTBLANK(A4),"",IF(ISBLANK(VLOOKUP(A4,BAR!A:I,7,FALSE)),"",VLOOKUP(A4,BAR!A:I,7,FALSE)))</f>
        <v>6</v>
      </c>
    </row>
    <row r="5" spans="1:2">
      <c r="A5" t="str" cm="1">
        <f t="array" ref="A5">IFERROR(INDEX(BAR!A:A,SMALL(IF((LEFT(BAR!A$2:A$1048576,3)="SRT")+(LEFT(BAR!A$2:A$1048576,3)="PAS"),ROW(BAR!A$2:A$1048576)),ROW()-1)),"")</f>
        <v>SRTFC04020118</v>
      </c>
      <c r="B5">
        <f>IF(COUNTBLANK(A5),"",IF(ISBLANK(VLOOKUP(A5,BAR!A:I,7,FALSE)),"",VLOOKUP(A5,BAR!A:I,7,FALSE)))</f>
        <v>1</v>
      </c>
    </row>
    <row r="6" spans="1:2">
      <c r="A6" t="str" cm="1">
        <f t="array" ref="A6">IFERROR(INDEX(BAR!A:A,SMALL(IF((LEFT(BAR!A$2:A$1048576,3)="SRT")+(LEFT(BAR!A$2:A$1048576,3)="PAS"),ROW(BAR!A$2:A$1048576)),ROW()-1)),"")</f>
        <v>SRTFC04020022</v>
      </c>
      <c r="B6">
        <f>IF(COUNTBLANK(A6),"",IF(ISBLANK(VLOOKUP(A6,BAR!A:I,7,FALSE)),"",VLOOKUP(A6,BAR!A:I,7,FALSE)))</f>
        <v>2</v>
      </c>
    </row>
    <row r="7" spans="1:2">
      <c r="A7" t="str" cm="1">
        <f t="array" ref="A7">IFERROR(INDEX(BAR!A:A,SMALL(IF((LEFT(BAR!A$2:A$1048576,3)="SRT")+(LEFT(BAR!A$2:A$1048576,3)="PAS"),ROW(BAR!A$2:A$1048576)),ROW()-1)),"")</f>
        <v>SRTFC04020043</v>
      </c>
      <c r="B7">
        <f>IF(COUNTBLANK(A7),"",IF(ISBLANK(VLOOKUP(A7,BAR!A:I,7,FALSE)),"",VLOOKUP(A7,BAR!A:I,7,FALSE)))</f>
        <v>3</v>
      </c>
    </row>
    <row r="8" spans="1:2">
      <c r="A8" t="str" cm="1">
        <f t="array" ref="A8">IFERROR(INDEX(BAR!A:A,SMALL(IF((LEFT(BAR!A$2:A$1048576,3)="SRT")+(LEFT(BAR!A$2:A$1048576,3)="PAS"),ROW(BAR!A$2:A$1048576)),ROW()-1)),"")</f>
        <v>SRTFC04020071</v>
      </c>
      <c r="B8">
        <f>IF(COUNTBLANK(A8),"",IF(ISBLANK(VLOOKUP(A8,BAR!A:I,7,FALSE)),"",VLOOKUP(A8,BAR!A:I,7,FALSE)))</f>
        <v>3</v>
      </c>
    </row>
    <row r="9" spans="1:2">
      <c r="A9" t="str" cm="1">
        <f t="array" ref="A9">IFERROR(INDEX(BAR!A:A,SMALL(IF((LEFT(BAR!A$2:A$1048576,3)="SRT")+(LEFT(BAR!A$2:A$1048576,3)="PAS"),ROW(BAR!A$2:A$1048576)),ROW()-1)),"")</f>
        <v>SRTFD04020018</v>
      </c>
      <c r="B9">
        <f>IF(COUNTBLANK(A9),"",IF(ISBLANK(VLOOKUP(A9,BAR!A:I,7,FALSE)),"",VLOOKUP(A9,BAR!A:I,7,FALSE)))</f>
        <v>4</v>
      </c>
    </row>
    <row r="10" spans="1:2">
      <c r="A10" t="str" cm="1">
        <f t="array" ref="A10">IFERROR(INDEX(BAR!A:A,SMALL(IF((LEFT(BAR!A$2:A$1048576,3)="SRT")+(LEFT(BAR!A$2:A$1048576,3)="PAS"),ROW(BAR!A$2:A$1048576)),ROW()-1)),"")</f>
        <v>SRTFD04010002</v>
      </c>
      <c r="B10">
        <f>IF(COUNTBLANK(A10),"",IF(ISBLANK(VLOOKUP(A10,BAR!A:I,7,FALSE)),"",VLOOKUP(A10,BAR!A:I,7,FALSE)))</f>
        <v>4</v>
      </c>
    </row>
    <row r="11" spans="1:2">
      <c r="A11" t="str" cm="1">
        <f t="array" ref="A11">IFERROR(INDEX(BAR!A:A,SMALL(IF((LEFT(BAR!A$2:A$1048576,3)="SRT")+(LEFT(BAR!A$2:A$1048576,3)="PAS"),ROW(BAR!A$2:A$1048576)),ROW()-1)),"")</f>
        <v>SRTFD04020041</v>
      </c>
      <c r="B11">
        <f>IF(COUNTBLANK(A11),"",IF(ISBLANK(VLOOKUP(A11,BAR!A:I,7,FALSE)),"",VLOOKUP(A11,BAR!A:I,7,FALSE)))</f>
        <v>5</v>
      </c>
    </row>
    <row r="12" spans="1:2">
      <c r="A12" t="str" cm="1">
        <f t="array" ref="A12">IFERROR(INDEX(BAR!A:A,SMALL(IF((LEFT(BAR!A$2:A$1048576,3)="SRT")+(LEFT(BAR!A$2:A$1048576,3)="PAS"),ROW(BAR!A$2:A$1048576)),ROW()-1)),"")</f>
        <v>SRTFD04020027</v>
      </c>
      <c r="B12">
        <f>IF(COUNTBLANK(A12),"",IF(ISBLANK(VLOOKUP(A12,BAR!A:I,7,FALSE)),"",VLOOKUP(A12,BAR!A:I,7,FALSE)))</f>
        <v>4</v>
      </c>
    </row>
    <row r="13" spans="1:2">
      <c r="A13" t="str" cm="1">
        <f t="array" ref="A13">IFERROR(INDEX(BAR!A:A,SMALL(IF((LEFT(BAR!A$2:A$1048576,3)="SRT")+(LEFT(BAR!A$2:A$1048576,3)="PAS"),ROW(BAR!A$2:A$1048576)),ROW()-1)),"")</f>
        <v>SRTFC04020031</v>
      </c>
      <c r="B13">
        <f>IF(COUNTBLANK(A13),"",IF(ISBLANK(VLOOKUP(A13,BAR!A:I,7,FALSE)),"",VLOOKUP(A13,BAR!A:I,7,FALSE)))</f>
        <v>6</v>
      </c>
    </row>
    <row r="14" spans="1:2">
      <c r="A14" t="str" cm="1">
        <f t="array" ref="A14">IFERROR(INDEX(BAR!A:A,SMALL(IF((LEFT(BAR!A$2:A$1048576,3)="SRT")+(LEFT(BAR!A$2:A$1048576,3)="PAS"),ROW(BAR!A$2:A$1048576)),ROW()-1)),"")</f>
        <v>SRTFD04060015</v>
      </c>
      <c r="B14">
        <f>IF(COUNTBLANK(A14),"",IF(ISBLANK(VLOOKUP(A14,BAR!A:I,7,FALSE)),"",VLOOKUP(A14,BAR!A:I,7,FALSE)))</f>
        <v>3</v>
      </c>
    </row>
    <row r="15" spans="1:2">
      <c r="A15" t="str" cm="1">
        <f t="array" ref="A15">IFERROR(INDEX(BAR!A:A,SMALL(IF((LEFT(BAR!A$2:A$1048576,3)="SRT")+(LEFT(BAR!A$2:A$1048576,3)="PAS"),ROW(BAR!A$2:A$1048576)),ROW()-1)),"")</f>
        <v>PASFD01010056</v>
      </c>
      <c r="B15">
        <f>IF(COUNTBLANK(A15),"",IF(ISBLANK(VLOOKUP(A15,BAR!A:I,7,FALSE)),"",VLOOKUP(A15,BAR!A:I,7,FALSE)))</f>
        <v>3</v>
      </c>
    </row>
    <row r="16" spans="1:2">
      <c r="A16" t="str" cm="1">
        <f t="array" ref="A16">IFERROR(INDEX(BAR!A:A,SMALL(IF((LEFT(BAR!A$2:A$1048576,3)="SRT")+(LEFT(BAR!A$2:A$1048576,3)="PAS"),ROW(BAR!A$2:A$1048576)),ROW()-1)),"")</f>
        <v>SRTFD08020036</v>
      </c>
      <c r="B16">
        <f>IF(COUNTBLANK(A16),"",IF(ISBLANK(VLOOKUP(A16,BAR!A:I,7,FALSE)),"",VLOOKUP(A16,BAR!A:I,7,FALSE)))</f>
        <v>34</v>
      </c>
    </row>
    <row r="17" spans="1:2">
      <c r="A17" t="str" cm="1">
        <f t="array" ref="A17">IFERROR(INDEX(BAR!A:A,SMALL(IF((LEFT(BAR!A$2:A$1048576,3)="SRT")+(LEFT(BAR!A$2:A$1048576,3)="PAS"),ROW(BAR!A$2:A$1048576)),ROW()-1)),"")</f>
        <v>SRTFD08020035</v>
      </c>
      <c r="B17">
        <f>IF(COUNTBLANK(A17),"",IF(ISBLANK(VLOOKUP(A17,BAR!A:I,7,FALSE)),"",VLOOKUP(A17,BAR!A:I,7,FALSE)))</f>
        <v>5</v>
      </c>
    </row>
    <row r="18" spans="1:2">
      <c r="A18" t="str" cm="1">
        <f t="array" ref="A18">IFERROR(INDEX(BAR!A:A,SMALL(IF((LEFT(BAR!A$2:A$1048576,3)="SRT")+(LEFT(BAR!A$2:A$1048576,3)="PAS"),ROW(BAR!A$2:A$1048576)),ROW()-1)),"")</f>
        <v>SRTFD08020037</v>
      </c>
      <c r="B18">
        <f>IF(COUNTBLANK(A18),"",IF(ISBLANK(VLOOKUP(A18,BAR!A:I,7,FALSE)),"",VLOOKUP(A18,BAR!A:I,7,FALSE)))</f>
        <v>1</v>
      </c>
    </row>
    <row r="19" spans="1:2">
      <c r="A19" t="str" cm="1">
        <f t="array" ref="A19">IFERROR(INDEX(BAR!A:A,SMALL(IF((LEFT(BAR!A$2:A$1048576,3)="SRT")+(LEFT(BAR!A$2:A$1048576,3)="PAS"),ROW(BAR!A$2:A$1048576)),ROW()-1)),"")</f>
        <v>SRTFD07030002</v>
      </c>
      <c r="B19" t="str">
        <f>IF(COUNTBLANK(A19),"",IF(ISBLANK(VLOOKUP(A19,BAR!A:I,7,FALSE)),"",VLOOKUP(A19,BAR!A:I,7,FALSE)))</f>
        <v/>
      </c>
    </row>
    <row r="20" spans="1:2">
      <c r="A20" t="str" cm="1">
        <f t="array" ref="A20">IFERROR(INDEX(BAR!A:A,SMALL(IF((LEFT(BAR!A$2:A$1048576,3)="SRT")+(LEFT(BAR!A$2:A$1048576,3)="PAS"),ROW(BAR!A$2:A$1048576)),ROW()-1)),"")</f>
        <v>SRTFC07030003</v>
      </c>
      <c r="B20" t="str">
        <f>IF(COUNTBLANK(A20),"",IF(ISBLANK(VLOOKUP(A20,BAR!A:I,7,FALSE)),"",VLOOKUP(A20,BAR!A:I,7,FALSE)))</f>
        <v/>
      </c>
    </row>
    <row r="21" spans="1:2">
      <c r="A21" t="str" cm="1">
        <f t="array" ref="A21">IFERROR(INDEX(BAR!A:A,SMALL(IF((LEFT(BAR!A$2:A$1048576,3)="SRT")+(LEFT(BAR!A$2:A$1048576,3)="PAS"),ROW(BAR!A$2:A$1048576)),ROW()-1)),"")</f>
        <v>SRTFC07020001</v>
      </c>
      <c r="B21" t="str">
        <f>IF(COUNTBLANK(A21),"",IF(ISBLANK(VLOOKUP(A21,BAR!A:I,7,FALSE)),"",VLOOKUP(A21,BAR!A:I,7,FALSE)))</f>
        <v/>
      </c>
    </row>
    <row r="22" spans="1:2">
      <c r="A22" t="str" cm="1">
        <f t="array" ref="A22">IFERROR(INDEX(BAR!A:A,SMALL(IF((LEFT(BAR!A$2:A$1048576,3)="SRT")+(LEFT(BAR!A$2:A$1048576,3)="PAS"),ROW(BAR!A$2:A$1048576)),ROW()-1)),"")</f>
        <v>SRTFC07020008</v>
      </c>
      <c r="B22" t="str">
        <f>IF(COUNTBLANK(A22),"",IF(ISBLANK(VLOOKUP(A22,BAR!A:I,7,FALSE)),"",VLOOKUP(A22,BAR!A:I,7,FALSE)))</f>
        <v/>
      </c>
    </row>
    <row r="23" spans="1:2">
      <c r="A23" t="str" cm="1">
        <f t="array" ref="A23">IFERROR(INDEX(BAR!A:A,SMALL(IF((LEFT(BAR!A$2:A$1048576,3)="SRT")+(LEFT(BAR!A$2:A$1048576,3)="PAS"),ROW(BAR!A$2:A$1048576)),ROW()-1)),"")</f>
        <v>SRTFC07020018</v>
      </c>
      <c r="B23" t="str">
        <f>IF(COUNTBLANK(A23),"",IF(ISBLANK(VLOOKUP(A23,BAR!A:I,7,FALSE)),"",VLOOKUP(A23,BAR!A:I,7,FALSE)))</f>
        <v/>
      </c>
    </row>
    <row r="24" spans="1:2">
      <c r="A24" t="str" cm="1">
        <f t="array" ref="A24">IFERROR(INDEX(BAR!A:A,SMALL(IF((LEFT(BAR!A$2:A$1048576,3)="SRT")+(LEFT(BAR!A$2:A$1048576,3)="PAS"),ROW(BAR!A$2:A$1048576)),ROW()-1)),"")</f>
        <v>SRTFC07020026</v>
      </c>
      <c r="B24" t="str">
        <f>IF(COUNTBLANK(A24),"",IF(ISBLANK(VLOOKUP(A24,BAR!A:I,7,FALSE)),"",VLOOKUP(A24,BAR!A:I,7,FALSE)))</f>
        <v/>
      </c>
    </row>
    <row r="25" spans="1:2">
      <c r="A25" t="str" cm="1">
        <f t="array" ref="A25">IFERROR(INDEX(BAR!A:A,SMALL(IF((LEFT(BAR!A$2:A$1048576,3)="SRT")+(LEFT(BAR!A$2:A$1048576,3)="PAS"),ROW(BAR!A$2:A$1048576)),ROW()-1)),"")</f>
        <v>SRTFD01010002</v>
      </c>
      <c r="B25" t="str">
        <f>IF(COUNTBLANK(A25),"",IF(ISBLANK(VLOOKUP(A25,BAR!A:I,7,FALSE)),"",VLOOKUP(A25,BAR!A:I,7,FALSE)))</f>
        <v/>
      </c>
    </row>
    <row r="26" spans="1:2">
      <c r="A26" t="str" cm="1">
        <f t="array" ref="A26">IFERROR(INDEX(BAR!A:A,SMALL(IF((LEFT(BAR!A$2:A$1048576,3)="SRT")+(LEFT(BAR!A$2:A$1048576,3)="PAS"),ROW(BAR!A$2:A$1048576)),ROW()-1)),"")</f>
        <v>SRTFD01060002</v>
      </c>
      <c r="B26" t="str">
        <f>IF(COUNTBLANK(A26),"",IF(ISBLANK(VLOOKUP(A26,BAR!A:I,7,FALSE)),"",VLOOKUP(A26,BAR!A:I,7,FALSE)))</f>
        <v/>
      </c>
    </row>
    <row r="27" spans="1:2">
      <c r="A27" t="str" cm="1">
        <f t="array" ref="A27">IFERROR(INDEX(BAR!A:A,SMALL(IF((LEFT(BAR!A$2:A$1048576,3)="SRT")+(LEFT(BAR!A$2:A$1048576,3)="PAS"),ROW(BAR!A$2:A$1048576)),ROW()-1)),"")</f>
        <v>SRTFD01040015</v>
      </c>
      <c r="B27" t="str">
        <f>IF(COUNTBLANK(A27),"",IF(ISBLANK(VLOOKUP(A27,BAR!A:I,7,FALSE)),"",VLOOKUP(A27,BAR!A:I,7,FALSE)))</f>
        <v/>
      </c>
    </row>
    <row r="28" spans="1:2">
      <c r="A28" t="str" cm="1">
        <f t="array" ref="A28">IFERROR(INDEX(BAR!A:A,SMALL(IF((LEFT(BAR!A$2:A$1048576,3)="SRT")+(LEFT(BAR!A$2:A$1048576,3)="PAS"),ROW(BAR!A$2:A$1048576)),ROW()-1)),"")</f>
        <v>SRTFD01050031</v>
      </c>
      <c r="B28" t="str">
        <f>IF(COUNTBLANK(A28),"",IF(ISBLANK(VLOOKUP(A28,BAR!A:I,7,FALSE)),"",VLOOKUP(A28,BAR!A:I,7,FALSE)))</f>
        <v/>
      </c>
    </row>
    <row r="29" spans="1:2">
      <c r="A29" t="str" cm="1">
        <f t="array" ref="A29">IFERROR(INDEX(BAR!A:A,SMALL(IF((LEFT(BAR!A$2:A$1048576,3)="SRT")+(LEFT(BAR!A$2:A$1048576,3)="PAS"),ROW(BAR!A$2:A$1048576)),ROW()-1)),"")</f>
        <v>SRTFD01030018</v>
      </c>
      <c r="B29" t="str">
        <f>IF(COUNTBLANK(A29),"",IF(ISBLANK(VLOOKUP(A29,BAR!A:I,7,FALSE)),"",VLOOKUP(A29,BAR!A:I,7,FALSE)))</f>
        <v/>
      </c>
    </row>
    <row r="30" spans="1:2">
      <c r="A30" t="str" cm="1">
        <f t="array" ref="A30">IFERROR(INDEX(BAR!A:A,SMALL(IF((LEFT(BAR!A$2:A$1048576,3)="SRT")+(LEFT(BAR!A$2:A$1048576,3)="PAS"),ROW(BAR!A$2:A$1048576)),ROW()-1)),"")</f>
        <v>SRTFD01030028</v>
      </c>
      <c r="B30" t="str">
        <f>IF(COUNTBLANK(A30),"",IF(ISBLANK(VLOOKUP(A30,BAR!A:I,7,FALSE)),"",VLOOKUP(A30,BAR!A:I,7,FALSE)))</f>
        <v/>
      </c>
    </row>
    <row r="31" spans="1:2">
      <c r="A31" t="str" cm="1">
        <f t="array" ref="A31">IFERROR(INDEX(BAR!A:A,SMALL(IF((LEFT(BAR!A$2:A$1048576,3)="SRT")+(LEFT(BAR!A$2:A$1048576,3)="PAS"),ROW(BAR!A$2:A$1048576)),ROW()-1)),"")</f>
        <v>SRTFD01050027</v>
      </c>
      <c r="B31" t="str">
        <f>IF(COUNTBLANK(A31),"",IF(ISBLANK(VLOOKUP(A31,BAR!A:I,7,FALSE)),"",VLOOKUP(A31,BAR!A:I,7,FALSE)))</f>
        <v/>
      </c>
    </row>
    <row r="32" spans="1:2">
      <c r="A32" t="str" cm="1">
        <f t="array" ref="A32">IFERROR(INDEX(BAR!A:A,SMALL(IF((LEFT(BAR!A$2:A$1048576,3)="SRT")+(LEFT(BAR!A$2:A$1048576,3)="PAS"),ROW(BAR!A$2:A$1048576)),ROW()-1)),"")</f>
        <v>SRTFD03040027</v>
      </c>
      <c r="B32" t="str">
        <f>IF(COUNTBLANK(A32),"",IF(ISBLANK(VLOOKUP(A32,BAR!A:I,7,FALSE)),"",VLOOKUP(A32,BAR!A:I,7,FALSE)))</f>
        <v/>
      </c>
    </row>
    <row r="33" spans="1:2">
      <c r="A33" t="str" cm="1">
        <f t="array" ref="A33">IFERROR(INDEX(BAR!A:A,SMALL(IF((LEFT(BAR!A$2:A$1048576,3)="SRT")+(LEFT(BAR!A$2:A$1048576,3)="PAS"),ROW(BAR!A$2:A$1048576)),ROW()-1)),"")</f>
        <v>SRTFD03020030</v>
      </c>
      <c r="B33" t="str">
        <f>IF(COUNTBLANK(A33),"",IF(ISBLANK(VLOOKUP(A33,BAR!A:I,7,FALSE)),"",VLOOKUP(A33,BAR!A:I,7,FALSE)))</f>
        <v/>
      </c>
    </row>
    <row r="34" spans="1:2">
      <c r="A34" t="str" cm="1">
        <f t="array" ref="A34">IFERROR(INDEX(BAR!A:A,SMALL(IF((LEFT(BAR!A$2:A$1048576,3)="SRT")+(LEFT(BAR!A$2:A$1048576,3)="PAS"),ROW(BAR!A$2:A$1048576)),ROW()-1)),"")</f>
        <v>SRTFD03020011</v>
      </c>
      <c r="B34" t="str">
        <f>IF(COUNTBLANK(A34),"",IF(ISBLANK(VLOOKUP(A34,BAR!A:I,7,FALSE)),"",VLOOKUP(A34,BAR!A:I,7,FALSE)))</f>
        <v/>
      </c>
    </row>
    <row r="35" spans="1:2">
      <c r="A35" t="str" cm="1">
        <f t="array" ref="A35">IFERROR(INDEX(BAR!A:A,SMALL(IF((LEFT(BAR!A$2:A$1048576,3)="SRT")+(LEFT(BAR!A$2:A$1048576,3)="PAS"),ROW(BAR!A$2:A$1048576)),ROW()-1)),"")</f>
        <v>SRTFD03020009</v>
      </c>
      <c r="B35" t="str">
        <f>IF(COUNTBLANK(A35),"",IF(ISBLANK(VLOOKUP(A35,BAR!A:I,7,FALSE)),"",VLOOKUP(A35,BAR!A:I,7,FALSE)))</f>
        <v/>
      </c>
    </row>
    <row r="36" spans="1:2">
      <c r="A36" t="str" cm="1">
        <f t="array" ref="A36">IFERROR(INDEX(BAR!A:A,SMALL(IF((LEFT(BAR!A$2:A$1048576,3)="SRT")+(LEFT(BAR!A$2:A$1048576,3)="PAS"),ROW(BAR!A$2:A$1048576)),ROW()-1)),"")</f>
        <v>SRTFD03020012</v>
      </c>
      <c r="B36" t="str">
        <f>IF(COUNTBLANK(A36),"",IF(ISBLANK(VLOOKUP(A36,BAR!A:I,7,FALSE)),"",VLOOKUP(A36,BAR!A:I,7,FALSE)))</f>
        <v/>
      </c>
    </row>
    <row r="37" spans="1:2">
      <c r="A37" t="str" cm="1">
        <f t="array" ref="A37">IFERROR(INDEX(BAR!A:A,SMALL(IF((LEFT(BAR!A$2:A$1048576,3)="SRT")+(LEFT(BAR!A$2:A$1048576,3)="PAS"),ROW(BAR!A$2:A$1048576)),ROW()-1)),"")</f>
        <v>SRTFD03040023</v>
      </c>
      <c r="B37" t="str">
        <f>IF(COUNTBLANK(A37),"",IF(ISBLANK(VLOOKUP(A37,BAR!A:I,7,FALSE)),"",VLOOKUP(A37,BAR!A:I,7,FALSE)))</f>
        <v/>
      </c>
    </row>
    <row r="38" spans="1:2">
      <c r="A38" t="str" cm="1">
        <f t="array" ref="A38">IFERROR(INDEX(BAR!A:A,SMALL(IF((LEFT(BAR!A$2:A$1048576,3)="SRT")+(LEFT(BAR!A$2:A$1048576,3)="PAS"),ROW(BAR!A$2:A$1048576)),ROW()-1)),"")</f>
        <v>SRTFD04070021</v>
      </c>
      <c r="B38" t="str">
        <f>IF(COUNTBLANK(A38),"",IF(ISBLANK(VLOOKUP(A38,BAR!A:I,7,FALSE)),"",VLOOKUP(A38,BAR!A:I,7,FALSE)))</f>
        <v/>
      </c>
    </row>
    <row r="39" spans="1:2">
      <c r="A39" t="str" cm="1">
        <f t="array" ref="A39">IFERROR(INDEX(BAR!A:A,SMALL(IF((LEFT(BAR!A$2:A$1048576,3)="SRT")+(LEFT(BAR!A$2:A$1048576,3)="PAS"),ROW(BAR!A$2:A$1048576)),ROW()-1)),"")</f>
        <v>SRTFD04070028</v>
      </c>
      <c r="B39" t="str">
        <f>IF(COUNTBLANK(A39),"",IF(ISBLANK(VLOOKUP(A39,BAR!A:I,7,FALSE)),"",VLOOKUP(A39,BAR!A:I,7,FALSE)))</f>
        <v/>
      </c>
    </row>
    <row r="40" spans="1:2">
      <c r="A40" t="str" cm="1">
        <f t="array" ref="A40">IFERROR(INDEX(BAR!A:A,SMALL(IF((LEFT(BAR!A$2:A$1048576,3)="SRT")+(LEFT(BAR!A$2:A$1048576,3)="PAS"),ROW(BAR!A$2:A$1048576)),ROW()-1)),"")</f>
        <v>SRTFD03040031</v>
      </c>
      <c r="B40" t="str">
        <f>IF(COUNTBLANK(A40),"",IF(ISBLANK(VLOOKUP(A40,BAR!A:I,7,FALSE)),"",VLOOKUP(A40,BAR!A:I,7,FALSE)))</f>
        <v/>
      </c>
    </row>
    <row r="41" spans="1:2">
      <c r="A41" t="str" cm="1">
        <f t="array" ref="A41">IFERROR(INDEX(BAR!A:A,SMALL(IF((LEFT(BAR!A$2:A$1048576,3)="SRT")+(LEFT(BAR!A$2:A$1048576,3)="PAS"),ROW(BAR!A$2:A$1048576)),ROW()-1)),"")</f>
        <v>SRTFD03020050</v>
      </c>
      <c r="B41" t="str">
        <f>IF(COUNTBLANK(A41),"",IF(ISBLANK(VLOOKUP(A41,BAR!A:I,7,FALSE)),"",VLOOKUP(A41,BAR!A:I,7,FALSE)))</f>
        <v/>
      </c>
    </row>
    <row r="42" spans="1:2">
      <c r="A42" t="str" cm="1">
        <f t="array" ref="A42">IFERROR(INDEX(BAR!A:A,SMALL(IF((LEFT(BAR!A$2:A$1048576,3)="SRT")+(LEFT(BAR!A$2:A$1048576,3)="PAS"),ROW(BAR!A$2:A$1048576)),ROW()-1)),"")</f>
        <v>SRTFD03020049</v>
      </c>
      <c r="B42" t="str">
        <f>IF(COUNTBLANK(A42),"",IF(ISBLANK(VLOOKUP(A42,BAR!A:I,7,FALSE)),"",VLOOKUP(A42,BAR!A:I,7,FALSE)))</f>
        <v/>
      </c>
    </row>
    <row r="43" spans="1:2">
      <c r="A43" t="str" cm="1">
        <f t="array" ref="A43">IFERROR(INDEX(BAR!A:A,SMALL(IF((LEFT(BAR!A$2:A$1048576,3)="SRT")+(LEFT(BAR!A$2:A$1048576,3)="PAS"),ROW(BAR!A$2:A$1048576)),ROW()-1)),"")</f>
        <v>SRTFD03020045</v>
      </c>
      <c r="B43" t="str">
        <f>IF(COUNTBLANK(A43),"",IF(ISBLANK(VLOOKUP(A43,BAR!A:I,7,FALSE)),"",VLOOKUP(A43,BAR!A:I,7,FALSE)))</f>
        <v/>
      </c>
    </row>
    <row r="44" spans="1:2">
      <c r="A44" t="str" cm="1">
        <f t="array" ref="A44">IFERROR(INDEX(BAR!A:A,SMALL(IF((LEFT(BAR!A$2:A$1048576,3)="SRT")+(LEFT(BAR!A$2:A$1048576,3)="PAS"),ROW(BAR!A$2:A$1048576)),ROW()-1)),"")</f>
        <v>SRTFD04070030</v>
      </c>
      <c r="B44" t="str">
        <f>IF(COUNTBLANK(A44),"",IF(ISBLANK(VLOOKUP(A44,BAR!A:I,7,FALSE)),"",VLOOKUP(A44,BAR!A:I,7,FALSE)))</f>
        <v/>
      </c>
    </row>
    <row r="45" spans="1:2">
      <c r="A45" t="str" cm="1">
        <f t="array" ref="A45">IFERROR(INDEX(BAR!A:A,SMALL(IF((LEFT(BAR!A$2:A$1048576,3)="SRT")+(LEFT(BAR!A$2:A$1048576,3)="PAS"),ROW(BAR!A$2:A$1048576)),ROW()-1)),"")</f>
        <v>SRTFD03040039</v>
      </c>
      <c r="B45" t="str">
        <f>IF(COUNTBLANK(A45),"",IF(ISBLANK(VLOOKUP(A45,BAR!A:I,7,FALSE)),"",VLOOKUP(A45,BAR!A:I,7,FALSE)))</f>
        <v/>
      </c>
    </row>
    <row r="46" spans="1:2">
      <c r="A46" t="str" cm="1">
        <f t="array" ref="A46">IFERROR(INDEX(BAR!A:A,SMALL(IF((LEFT(BAR!A$2:A$1048576,3)="SRT")+(LEFT(BAR!A$2:A$1048576,3)="PAS"),ROW(BAR!A$2:A$1048576)),ROW()-1)),"")</f>
        <v>SRTFD03020055</v>
      </c>
      <c r="B46" t="str">
        <f>IF(COUNTBLANK(A46),"",IF(ISBLANK(VLOOKUP(A46,BAR!A:I,7,FALSE)),"",VLOOKUP(A46,BAR!A:I,7,FALSE)))</f>
        <v/>
      </c>
    </row>
    <row r="47" spans="1:2">
      <c r="A47" t="str" cm="1">
        <f t="array" ref="A47">IFERROR(INDEX(BAR!A:A,SMALL(IF((LEFT(BAR!A$2:A$1048576,3)="SRT")+(LEFT(BAR!A$2:A$1048576,3)="PAS"),ROW(BAR!A$2:A$1048576)),ROW()-1)),"")</f>
        <v>SRTFD03020034</v>
      </c>
      <c r="B47" t="str">
        <f>IF(COUNTBLANK(A47),"",IF(ISBLANK(VLOOKUP(A47,BAR!A:I,7,FALSE)),"",VLOOKUP(A47,BAR!A:I,7,FALSE)))</f>
        <v/>
      </c>
    </row>
    <row r="48" spans="1:2">
      <c r="A48" t="str" cm="1">
        <f t="array" ref="A48">IFERROR(INDEX(BAR!A:A,SMALL(IF((LEFT(BAR!A$2:A$1048576,3)="SRT")+(LEFT(BAR!A$2:A$1048576,3)="PAS"),ROW(BAR!A$2:A$1048576)),ROW()-1)),"")</f>
        <v>SRTFD05010111</v>
      </c>
      <c r="B48" t="str">
        <f>IF(COUNTBLANK(A48),"",IF(ISBLANK(VLOOKUP(A48,BAR!A:I,7,FALSE)),"",VLOOKUP(A48,BAR!A:I,7,FALSE)))</f>
        <v/>
      </c>
    </row>
    <row r="49" spans="1:2">
      <c r="A49" t="str" cm="1">
        <f t="array" ref="A49">IFERROR(INDEX(BAR!A:A,SMALL(IF((LEFT(BAR!A$2:A$1048576,3)="SRT")+(LEFT(BAR!A$2:A$1048576,3)="PAS"),ROW(BAR!A$2:A$1048576)),ROW()-1)),"")</f>
        <v>SRTFD03020056</v>
      </c>
      <c r="B49" t="str">
        <f>IF(COUNTBLANK(A49),"",IF(ISBLANK(VLOOKUP(A49,BAR!A:I,7,FALSE)),"",VLOOKUP(A49,BAR!A:I,7,FALSE)))</f>
        <v/>
      </c>
    </row>
    <row r="50" spans="1:2">
      <c r="A50" t="str" cm="1">
        <f t="array" ref="A50">IFERROR(INDEX(BAR!A:A,SMALL(IF((LEFT(BAR!A$2:A$1048576,3)="SRT")+(LEFT(BAR!A$2:A$1048576,3)="PAS"),ROW(BAR!A$2:A$1048576)),ROW()-1)),"")</f>
        <v>SRTFD04020049</v>
      </c>
      <c r="B50" t="str">
        <f>IF(COUNTBLANK(A50),"",IF(ISBLANK(VLOOKUP(A50,BAR!A:I,7,FALSE)),"",VLOOKUP(A50,BAR!A:I,7,FALSE)))</f>
        <v/>
      </c>
    </row>
    <row r="51" spans="1:2">
      <c r="A51" t="str" cm="1">
        <f t="array" ref="A51">IFERROR(INDEX(BAR!A:A,SMALL(IF((LEFT(BAR!A$2:A$1048576,3)="SRT")+(LEFT(BAR!A$2:A$1048576,3)="PAS"),ROW(BAR!A$2:A$1048576)),ROW()-1)),"")</f>
        <v>SRTFD01050021</v>
      </c>
      <c r="B51" t="str">
        <f>IF(COUNTBLANK(A51),"",IF(ISBLANK(VLOOKUP(A51,BAR!A:I,7,FALSE)),"",VLOOKUP(A51,BAR!A:I,7,FALSE)))</f>
        <v/>
      </c>
    </row>
    <row r="52" spans="1:2">
      <c r="A52" t="str" cm="1">
        <f t="array" ref="A52">IFERROR(INDEX(BAR!A:A,SMALL(IF((LEFT(BAR!A$2:A$1048576,3)="SRT")+(LEFT(BAR!A$2:A$1048576,3)="PAS"),ROW(BAR!A$2:A$1048576)),ROW()-1)),"")</f>
        <v>SRTFD01050020</v>
      </c>
      <c r="B52" t="str">
        <f>IF(COUNTBLANK(A52),"",IF(ISBLANK(VLOOKUP(A52,BAR!A:I,7,FALSE)),"",VLOOKUP(A52,BAR!A:I,7,FALSE)))</f>
        <v/>
      </c>
    </row>
    <row r="53" spans="1:2">
      <c r="A53" t="str" cm="1">
        <f t="array" ref="A53">IFERROR(INDEX(BAR!A:A,SMALL(IF((LEFT(BAR!A$2:A$1048576,3)="SRT")+(LEFT(BAR!A$2:A$1048576,3)="PAS"),ROW(BAR!A$2:A$1048576)),ROW()-1)),"")</f>
        <v>SRTFD01050022</v>
      </c>
      <c r="B53" t="str">
        <f>IF(COUNTBLANK(A53),"",IF(ISBLANK(VLOOKUP(A53,BAR!A:I,7,FALSE)),"",VLOOKUP(A53,BAR!A:I,7,FALSE)))</f>
        <v/>
      </c>
    </row>
    <row r="54" spans="1:2">
      <c r="A54" t="str" cm="1">
        <f t="array" ref="A54">IFERROR(INDEX(BAR!A:A,SMALL(IF((LEFT(BAR!A$2:A$1048576,3)="SRT")+(LEFT(BAR!A$2:A$1048576,3)="PAS"),ROW(BAR!A$2:A$1048576)),ROW()-1)),"")</f>
        <v>SRTFD01050040</v>
      </c>
      <c r="B54" t="str">
        <f>IF(COUNTBLANK(A54),"",IF(ISBLANK(VLOOKUP(A54,BAR!A:I,7,FALSE)),"",VLOOKUP(A54,BAR!A:I,7,FALSE)))</f>
        <v/>
      </c>
    </row>
    <row r="55" spans="1:2">
      <c r="A55" t="str" cm="1">
        <f t="array" ref="A55">IFERROR(INDEX(BAR!A:A,SMALL(IF((LEFT(BAR!A$2:A$1048576,3)="SRT")+(LEFT(BAR!A$2:A$1048576,3)="PAS"),ROW(BAR!A$2:A$1048576)),ROW()-1)),"")</f>
        <v>SRTFD01050030</v>
      </c>
      <c r="B55" t="str">
        <f>IF(COUNTBLANK(A55),"",IF(ISBLANK(VLOOKUP(A55,BAR!A:I,7,FALSE)),"",VLOOKUP(A55,BAR!A:I,7,FALSE)))</f>
        <v/>
      </c>
    </row>
    <row r="56" spans="1:2">
      <c r="A56" t="str" cm="1">
        <f t="array" ref="A56">IFERROR(INDEX(BAR!A:A,SMALL(IF((LEFT(BAR!A$2:A$1048576,3)="SRT")+(LEFT(BAR!A$2:A$1048576,3)="PAS"),ROW(BAR!A$2:A$1048576)),ROW()-1)),"")</f>
        <v>SRTFD01020041</v>
      </c>
      <c r="B56" t="str">
        <f>IF(COUNTBLANK(A56),"",IF(ISBLANK(VLOOKUP(A56,BAR!A:I,7,FALSE)),"",VLOOKUP(A56,BAR!A:I,7,FALSE)))</f>
        <v/>
      </c>
    </row>
    <row r="57" spans="1:2">
      <c r="A57" t="str" cm="1">
        <f t="array" ref="A57">IFERROR(INDEX(BAR!A:A,SMALL(IF((LEFT(BAR!A$2:A$1048576,3)="SRT")+(LEFT(BAR!A$2:A$1048576,3)="PAS"),ROW(BAR!A$2:A$1048576)),ROW()-1)),"")</f>
        <v>SRTFD01020042</v>
      </c>
      <c r="B57" t="str">
        <f>IF(COUNTBLANK(A57),"",IF(ISBLANK(VLOOKUP(A57,BAR!A:I,7,FALSE)),"",VLOOKUP(A57,BAR!A:I,7,FALSE)))</f>
        <v/>
      </c>
    </row>
    <row r="58" spans="1:2">
      <c r="A58" t="str" cm="1">
        <f t="array" ref="A58">IFERROR(INDEX(BAR!A:A,SMALL(IF((LEFT(BAR!A$2:A$1048576,3)="SRT")+(LEFT(BAR!A$2:A$1048576,3)="PAS"),ROW(BAR!A$2:A$1048576)),ROW()-1)),"")</f>
        <v>SRTFD01020043</v>
      </c>
      <c r="B58" t="str">
        <f>IF(COUNTBLANK(A58),"",IF(ISBLANK(VLOOKUP(A58,BAR!A:I,7,FALSE)),"",VLOOKUP(A58,BAR!A:I,7,FALSE)))</f>
        <v/>
      </c>
    </row>
    <row r="59" spans="1:2">
      <c r="A59" t="str" cm="1">
        <f t="array" ref="A59">IFERROR(INDEX(BAR!A:A,SMALL(IF((LEFT(BAR!A$2:A$1048576,3)="SRT")+(LEFT(BAR!A$2:A$1048576,3)="PAS"),ROW(BAR!A$2:A$1048576)),ROW()-1)),"")</f>
        <v>SRTFD01030012</v>
      </c>
      <c r="B59" t="str">
        <f>IF(COUNTBLANK(A59),"",IF(ISBLANK(VLOOKUP(A59,BAR!A:I,7,FALSE)),"",VLOOKUP(A59,BAR!A:I,7,FALSE)))</f>
        <v/>
      </c>
    </row>
    <row r="60" spans="1:2">
      <c r="A60" t="str" cm="1">
        <f t="array" ref="A60">IFERROR(INDEX(BAR!A:A,SMALL(IF((LEFT(BAR!A$2:A$1048576,3)="SRT")+(LEFT(BAR!A$2:A$1048576,3)="PAS"),ROW(BAR!A$2:A$1048576)),ROW()-1)),"")</f>
        <v>SRTFD01070004</v>
      </c>
      <c r="B60" t="str">
        <f>IF(COUNTBLANK(A60),"",IF(ISBLANK(VLOOKUP(A60,BAR!A:I,7,FALSE)),"",VLOOKUP(A60,BAR!A:I,7,FALSE)))</f>
        <v/>
      </c>
    </row>
    <row r="61" spans="1:2">
      <c r="A61" t="str" cm="1">
        <f t="array" ref="A61">IFERROR(INDEX(BAR!A:A,SMALL(IF((LEFT(BAR!A$2:A$1048576,3)="SRT")+(LEFT(BAR!A$2:A$1048576,3)="PAS"),ROW(BAR!A$2:A$1048576)),ROW()-1)),"")</f>
        <v>SRTFD01070027</v>
      </c>
      <c r="B61" t="str">
        <f>IF(COUNTBLANK(A61),"",IF(ISBLANK(VLOOKUP(A61,BAR!A:I,7,FALSE)),"",VLOOKUP(A61,BAR!A:I,7,FALSE)))</f>
        <v/>
      </c>
    </row>
    <row r="62" spans="1:2">
      <c r="A62" t="str" cm="1">
        <f t="array" ref="A62">IFERROR(INDEX(BAR!A:A,SMALL(IF((LEFT(BAR!A$2:A$1048576,3)="SRT")+(LEFT(BAR!A$2:A$1048576,3)="PAS"),ROW(BAR!A$2:A$1048576)),ROW()-1)),"")</f>
        <v>SRTFD01070074</v>
      </c>
      <c r="B62" t="str">
        <f>IF(COUNTBLANK(A62),"",IF(ISBLANK(VLOOKUP(A62,BAR!A:I,7,FALSE)),"",VLOOKUP(A62,BAR!A:I,7,FALSE)))</f>
        <v/>
      </c>
    </row>
    <row r="63" spans="1:2">
      <c r="A63" t="str" cm="1">
        <f t="array" ref="A63">IFERROR(INDEX(BAR!A:A,SMALL(IF((LEFT(BAR!A$2:A$1048576,3)="SRT")+(LEFT(BAR!A$2:A$1048576,3)="PAS"),ROW(BAR!A$2:A$1048576)),ROW()-1)),"")</f>
        <v>SRTFD01070050</v>
      </c>
      <c r="B63" t="str">
        <f>IF(COUNTBLANK(A63),"",IF(ISBLANK(VLOOKUP(A63,BAR!A:I,7,FALSE)),"",VLOOKUP(A63,BAR!A:I,7,FALSE)))</f>
        <v/>
      </c>
    </row>
    <row r="64" spans="1:2">
      <c r="A64" t="str" cm="1">
        <f t="array" ref="A64">IFERROR(INDEX(BAR!A:A,SMALL(IF((LEFT(BAR!A$2:A$1048576,3)="SRT")+(LEFT(BAR!A$2:A$1048576,3)="PAS"),ROW(BAR!A$2:A$1048576)),ROW()-1)),"")</f>
        <v>SRTFD01070051</v>
      </c>
      <c r="B64" t="str">
        <f>IF(COUNTBLANK(A64),"",IF(ISBLANK(VLOOKUP(A64,BAR!A:I,7,FALSE)),"",VLOOKUP(A64,BAR!A:I,7,FALSE)))</f>
        <v/>
      </c>
    </row>
    <row r="65" spans="1:2">
      <c r="A65" t="str" cm="1">
        <f t="array" ref="A65">IFERROR(INDEX(BAR!A:A,SMALL(IF((LEFT(BAR!A$2:A$1048576,3)="SRT")+(LEFT(BAR!A$2:A$1048576,3)="PAS"),ROW(BAR!A$2:A$1048576)),ROW()-1)),"")</f>
        <v>SRTFD01070062</v>
      </c>
      <c r="B65" t="str">
        <f>IF(COUNTBLANK(A65),"",IF(ISBLANK(VLOOKUP(A65,BAR!A:I,7,FALSE)),"",VLOOKUP(A65,BAR!A:I,7,FALSE)))</f>
        <v/>
      </c>
    </row>
    <row r="66" spans="1:2">
      <c r="A66" t="str" cm="1">
        <f t="array" ref="A66">IFERROR(INDEX(BAR!A:A,SMALL(IF((LEFT(BAR!A$2:A$1048576,3)="SRT")+(LEFT(BAR!A$2:A$1048576,3)="PAS"),ROW(BAR!A$2:A$1048576)),ROW()-1)),"")</f>
        <v>SRTFD01070077</v>
      </c>
      <c r="B66" t="str">
        <f>IF(COUNTBLANK(A66),"",IF(ISBLANK(VLOOKUP(A66,BAR!A:I,7,FALSE)),"",VLOOKUP(A66,BAR!A:I,7,FALSE)))</f>
        <v/>
      </c>
    </row>
    <row r="67" spans="1:2">
      <c r="A67" t="str" cm="1">
        <f t="array" ref="A67">IFERROR(INDEX(BAR!A:A,SMALL(IF((LEFT(BAR!A$2:A$1048576,3)="SRT")+(LEFT(BAR!A$2:A$1048576,3)="PAS"),ROW(BAR!A$2:A$1048576)),ROW()-1)),"")</f>
        <v>SRTFD01070078</v>
      </c>
      <c r="B67" t="str">
        <f>IF(COUNTBLANK(A67),"",IF(ISBLANK(VLOOKUP(A67,BAR!A:I,7,FALSE)),"",VLOOKUP(A67,BAR!A:I,7,FALSE)))</f>
        <v/>
      </c>
    </row>
    <row r="68" spans="1:2">
      <c r="A68" t="str" cm="1">
        <f t="array" ref="A68">IFERROR(INDEX(BAR!A:A,SMALL(IF((LEFT(BAR!A$2:A$1048576,3)="SRT")+(LEFT(BAR!A$2:A$1048576,3)="PAS"),ROW(BAR!A$2:A$1048576)),ROW()-1)),"")</f>
        <v>SRTFD04070006</v>
      </c>
      <c r="B68" t="str">
        <f>IF(COUNTBLANK(A68),"",IF(ISBLANK(VLOOKUP(A68,BAR!A:I,7,FALSE)),"",VLOOKUP(A68,BAR!A:I,7,FALSE)))</f>
        <v/>
      </c>
    </row>
    <row r="69" spans="1:2">
      <c r="A69" t="str" cm="1">
        <f t="array" ref="A69">IFERROR(INDEX(BAR!A:A,SMALL(IF((LEFT(BAR!A$2:A$1048576,3)="SRT")+(LEFT(BAR!A$2:A$1048576,3)="PAS"),ROW(BAR!A$2:A$1048576)),ROW()-1)),"")</f>
        <v>SRTFD04080039</v>
      </c>
      <c r="B69" t="str">
        <f>IF(COUNTBLANK(A69),"",IF(ISBLANK(VLOOKUP(A69,BAR!A:I,7,FALSE)),"",VLOOKUP(A69,BAR!A:I,7,FALSE)))</f>
        <v/>
      </c>
    </row>
    <row r="70" spans="1:2">
      <c r="A70" t="str" cm="1">
        <f t="array" ref="A70">IFERROR(INDEX(BAR!A:A,SMALL(IF((LEFT(BAR!A$2:A$1048576,3)="SRT")+(LEFT(BAR!A$2:A$1048576,3)="PAS"),ROW(BAR!A$2:A$1048576)),ROW()-1)),"")</f>
        <v>SRTND04020279</v>
      </c>
      <c r="B70" t="str">
        <f>IF(COUNTBLANK(A70),"",IF(ISBLANK(VLOOKUP(A70,BAR!A:I,7,FALSE)),"",VLOOKUP(A70,BAR!A:I,7,FALSE)))</f>
        <v/>
      </c>
    </row>
    <row r="71" spans="1:2">
      <c r="A71" t="str" cm="1">
        <f t="array" ref="A71">IFERROR(INDEX(BAR!A:A,SMALL(IF((LEFT(BAR!A$2:A$1048576,3)="SRT")+(LEFT(BAR!A$2:A$1048576,3)="PAS"),ROW(BAR!A$2:A$1048576)),ROW()-1)),"")</f>
        <v>SRTND04020375</v>
      </c>
      <c r="B71" t="str">
        <f>IF(COUNTBLANK(A71),"",IF(ISBLANK(VLOOKUP(A71,BAR!A:I,7,FALSE)),"",VLOOKUP(A71,BAR!A:I,7,FALSE)))</f>
        <v/>
      </c>
    </row>
    <row r="72" spans="1:2">
      <c r="A72" t="str" cm="1">
        <f t="array" ref="A72">IFERROR(INDEX(BAR!A:A,SMALL(IF((LEFT(BAR!A$2:A$1048576,3)="SRT")+(LEFT(BAR!A$2:A$1048576,3)="PAS"),ROW(BAR!A$2:A$1048576)),ROW()-1)),"")</f>
        <v>SRTND04020348</v>
      </c>
      <c r="B72" t="str">
        <f>IF(COUNTBLANK(A72),"",IF(ISBLANK(VLOOKUP(A72,BAR!A:I,7,FALSE)),"",VLOOKUP(A72,BAR!A:I,7,FALSE)))</f>
        <v/>
      </c>
    </row>
    <row r="73" spans="1:2">
      <c r="A73" t="str" cm="1">
        <f t="array" ref="A73">IFERROR(INDEX(BAR!A:A,SMALL(IF((LEFT(BAR!A$2:A$1048576,3)="SRT")+(LEFT(BAR!A$2:A$1048576,3)="PAS"),ROW(BAR!A$2:A$1048576)),ROW()-1)),"")</f>
        <v>SRTND04020349</v>
      </c>
      <c r="B73" t="str">
        <f>IF(COUNTBLANK(A73),"",IF(ISBLANK(VLOOKUP(A73,BAR!A:I,7,FALSE)),"",VLOOKUP(A73,BAR!A:I,7,FALSE)))</f>
        <v/>
      </c>
    </row>
    <row r="74" spans="1:2">
      <c r="A74" t="str" cm="1">
        <f t="array" ref="A74">IFERROR(INDEX(BAR!A:A,SMALL(IF((LEFT(BAR!A$2:A$1048576,3)="SRT")+(LEFT(BAR!A$2:A$1048576,3)="PAS"),ROW(BAR!A$2:A$1048576)),ROW()-1)),"")</f>
        <v>SRTND04020350</v>
      </c>
      <c r="B74" t="str">
        <f>IF(COUNTBLANK(A74),"",IF(ISBLANK(VLOOKUP(A74,BAR!A:I,7,FALSE)),"",VLOOKUP(A74,BAR!A:I,7,FALSE)))</f>
        <v/>
      </c>
    </row>
    <row r="75" spans="1:2">
      <c r="A75" t="str" cm="1">
        <f t="array" ref="A75">IFERROR(INDEX(BAR!A:A,SMALL(IF((LEFT(BAR!A$2:A$1048576,3)="SRT")+(LEFT(BAR!A$2:A$1048576,3)="PAS"),ROW(BAR!A$2:A$1048576)),ROW()-1)),"")</f>
        <v>SRTND04020378</v>
      </c>
      <c r="B75" t="str">
        <f>IF(COUNTBLANK(A75),"",IF(ISBLANK(VLOOKUP(A75,BAR!A:I,7,FALSE)),"",VLOOKUP(A75,BAR!A:I,7,FALSE)))</f>
        <v/>
      </c>
    </row>
    <row r="76" spans="1:2">
      <c r="A76" t="str" cm="1">
        <f t="array" ref="A76">IFERROR(INDEX(BAR!A:A,SMALL(IF((LEFT(BAR!A$2:A$1048576,3)="SRT")+(LEFT(BAR!A$2:A$1048576,3)="PAS"),ROW(BAR!A$2:A$1048576)),ROW()-1)),"")</f>
        <v>SRTND04020002</v>
      </c>
      <c r="B76" t="str">
        <f>IF(COUNTBLANK(A76),"",IF(ISBLANK(VLOOKUP(A76,BAR!A:I,7,FALSE)),"",VLOOKUP(A76,BAR!A:I,7,FALSE)))</f>
        <v/>
      </c>
    </row>
    <row r="77" spans="1:2">
      <c r="A77" t="str" cm="1">
        <f t="array" ref="A77">IFERROR(INDEX(BAR!A:A,SMALL(IF((LEFT(BAR!A$2:A$1048576,3)="SRT")+(LEFT(BAR!A$2:A$1048576,3)="PAS"),ROW(BAR!A$2:A$1048576)),ROW()-1)),"")</f>
        <v>SRTND04020085</v>
      </c>
      <c r="B77" t="str">
        <f>IF(COUNTBLANK(A77),"",IF(ISBLANK(VLOOKUP(A77,BAR!A:I,7,FALSE)),"",VLOOKUP(A77,BAR!A:I,7,FALSE)))</f>
        <v/>
      </c>
    </row>
    <row r="78" spans="1:2">
      <c r="A78" t="str" cm="1">
        <f t="array" ref="A78">IFERROR(INDEX(BAR!A:A,SMALL(IF((LEFT(BAR!A$2:A$1048576,3)="SRT")+(LEFT(BAR!A$2:A$1048576,3)="PAS"),ROW(BAR!A$2:A$1048576)),ROW()-1)),"")</f>
        <v>SRTND04030276</v>
      </c>
      <c r="B78" t="str">
        <f>IF(COUNTBLANK(A78),"",IF(ISBLANK(VLOOKUP(A78,BAR!A:I,7,FALSE)),"",VLOOKUP(A78,BAR!A:I,7,FALSE)))</f>
        <v/>
      </c>
    </row>
    <row r="79" spans="1:2">
      <c r="A79" t="str" cm="1">
        <f t="array" ref="A79">IFERROR(INDEX(BAR!A:A,SMALL(IF((LEFT(BAR!A$2:A$1048576,3)="SRT")+(LEFT(BAR!A$2:A$1048576,3)="PAS"),ROW(BAR!A$2:A$1048576)),ROW()-1)),"")</f>
        <v>SRTND04030277</v>
      </c>
      <c r="B79" t="str">
        <f>IF(COUNTBLANK(A79),"",IF(ISBLANK(VLOOKUP(A79,BAR!A:I,7,FALSE)),"",VLOOKUP(A79,BAR!A:I,7,FALSE)))</f>
        <v/>
      </c>
    </row>
    <row r="80" spans="1:2">
      <c r="A80" t="str" cm="1">
        <f t="array" ref="A80">IFERROR(INDEX(BAR!A:A,SMALL(IF((LEFT(BAR!A$2:A$1048576,3)="SRT")+(LEFT(BAR!A$2:A$1048576,3)="PAS"),ROW(BAR!A$2:A$1048576)),ROW()-1)),"")</f>
        <v>SRTND04030278</v>
      </c>
      <c r="B80" t="str">
        <f>IF(COUNTBLANK(A80),"",IF(ISBLANK(VLOOKUP(A80,BAR!A:I,7,FALSE)),"",VLOOKUP(A80,BAR!A:I,7,FALSE)))</f>
        <v/>
      </c>
    </row>
    <row r="81" spans="1:2">
      <c r="A81" t="str" cm="1">
        <f t="array" ref="A81">IFERROR(INDEX(BAR!A:A,SMALL(IF((LEFT(BAR!A$2:A$1048576,3)="SRT")+(LEFT(BAR!A$2:A$1048576,3)="PAS"),ROW(BAR!A$2:A$1048576)),ROW()-1)),"")</f>
        <v>SRTND04030279</v>
      </c>
      <c r="B81" t="str">
        <f>IF(COUNTBLANK(A81),"",IF(ISBLANK(VLOOKUP(A81,BAR!A:I,7,FALSE)),"",VLOOKUP(A81,BAR!A:I,7,FALSE)))</f>
        <v/>
      </c>
    </row>
    <row r="82" spans="1:2">
      <c r="A82" t="str" cm="1">
        <f t="array" ref="A82">IFERROR(INDEX(BAR!A:A,SMALL(IF((LEFT(BAR!A$2:A$1048576,3)="SRT")+(LEFT(BAR!A$2:A$1048576,3)="PAS"),ROW(BAR!A$2:A$1048576)),ROW()-1)),"")</f>
        <v>SRTND04030236</v>
      </c>
      <c r="B82" t="str">
        <f>IF(COUNTBLANK(A82),"",IF(ISBLANK(VLOOKUP(A82,BAR!A:I,7,FALSE)),"",VLOOKUP(A82,BAR!A:I,7,FALSE)))</f>
        <v/>
      </c>
    </row>
    <row r="83" spans="1:2">
      <c r="A83" t="str" cm="1">
        <f t="array" ref="A83">IFERROR(INDEX(BAR!A:A,SMALL(IF((LEFT(BAR!A$2:A$1048576,3)="SRT")+(LEFT(BAR!A$2:A$1048576,3)="PAS"),ROW(BAR!A$2:A$1048576)),ROW()-1)),"")</f>
        <v>SRTND04030237</v>
      </c>
      <c r="B83" t="str">
        <f>IF(COUNTBLANK(A83),"",IF(ISBLANK(VLOOKUP(A83,BAR!A:I,7,FALSE)),"",VLOOKUP(A83,BAR!A:I,7,FALSE)))</f>
        <v/>
      </c>
    </row>
    <row r="84" spans="1:2">
      <c r="A84" t="str" cm="1">
        <f t="array" ref="A84">IFERROR(INDEX(BAR!A:A,SMALL(IF((LEFT(BAR!A$2:A$1048576,3)="SRT")+(LEFT(BAR!A$2:A$1048576,3)="PAS"),ROW(BAR!A$2:A$1048576)),ROW()-1)),"")</f>
        <v>SRTND04030238</v>
      </c>
      <c r="B84" t="str">
        <f>IF(COUNTBLANK(A84),"",IF(ISBLANK(VLOOKUP(A84,BAR!A:I,7,FALSE)),"",VLOOKUP(A84,BAR!A:I,7,FALSE)))</f>
        <v/>
      </c>
    </row>
    <row r="85" spans="1:2">
      <c r="A85" t="str" cm="1">
        <f t="array" ref="A85">IFERROR(INDEX(BAR!A:A,SMALL(IF((LEFT(BAR!A$2:A$1048576,3)="SRT")+(LEFT(BAR!A$2:A$1048576,3)="PAS"),ROW(BAR!A$2:A$1048576)),ROW()-1)),"")</f>
        <v>SRTFD04010032</v>
      </c>
      <c r="B85" t="str">
        <f>IF(COUNTBLANK(A85),"",IF(ISBLANK(VLOOKUP(A85,BAR!A:I,7,FALSE)),"",VLOOKUP(A85,BAR!A:I,7,FALSE)))</f>
        <v/>
      </c>
    </row>
    <row r="86" spans="1:2">
      <c r="A86" t="str" cm="1">
        <f t="array" ref="A86">IFERROR(INDEX(BAR!A:A,SMALL(IF((LEFT(BAR!A$2:A$1048576,3)="SRT")+(LEFT(BAR!A$2:A$1048576,3)="PAS"),ROW(BAR!A$2:A$1048576)),ROW()-1)),"")</f>
        <v>SRTFD04010031</v>
      </c>
      <c r="B86" t="str">
        <f>IF(COUNTBLANK(A86),"",IF(ISBLANK(VLOOKUP(A86,BAR!A:I,7,FALSE)),"",VLOOKUP(A86,BAR!A:I,7,FALSE)))</f>
        <v/>
      </c>
    </row>
    <row r="87" spans="1:2">
      <c r="A87" t="str" cm="1">
        <f t="array" ref="A87">IFERROR(INDEX(BAR!A:A,SMALL(IF((LEFT(BAR!A$2:A$1048576,3)="SRT")+(LEFT(BAR!A$2:A$1048576,3)="PAS"),ROW(BAR!A$2:A$1048576)),ROW()-1)),"")</f>
        <v>SRTFD09020006</v>
      </c>
      <c r="B87" t="str">
        <f>IF(COUNTBLANK(A87),"",IF(ISBLANK(VLOOKUP(A87,BAR!A:I,7,FALSE)),"",VLOOKUP(A87,BAR!A:I,7,FALSE)))</f>
        <v/>
      </c>
    </row>
    <row r="88" spans="1:2">
      <c r="A88" t="str" cm="1">
        <f t="array" ref="A88">IFERROR(INDEX(BAR!A:A,SMALL(IF((LEFT(BAR!A$2:A$1048576,3)="SRT")+(LEFT(BAR!A$2:A$1048576,3)="PAS"),ROW(BAR!A$2:A$1048576)),ROW()-1)),"")</f>
        <v>SRTFD09020007</v>
      </c>
      <c r="B88" t="str">
        <f>IF(COUNTBLANK(A88),"",IF(ISBLANK(VLOOKUP(A88,BAR!A:I,7,FALSE)),"",VLOOKUP(A88,BAR!A:I,7,FALSE)))</f>
        <v/>
      </c>
    </row>
    <row r="89" spans="1:2">
      <c r="A89" t="str" cm="1">
        <f t="array" ref="A89">IFERROR(INDEX(BAR!A:A,SMALL(IF((LEFT(BAR!A$2:A$1048576,3)="SRT")+(LEFT(BAR!A$2:A$1048576,3)="PAS"),ROW(BAR!A$2:A$1048576)),ROW()-1)),"")</f>
        <v>SRTFC04020055</v>
      </c>
      <c r="B89" t="str">
        <f>IF(COUNTBLANK(A89),"",IF(ISBLANK(VLOOKUP(A89,BAR!A:I,7,FALSE)),"",VLOOKUP(A89,BAR!A:I,7,FALSE)))</f>
        <v/>
      </c>
    </row>
    <row r="90" spans="1:2">
      <c r="A90" t="str" cm="1">
        <f t="array" ref="A90">IFERROR(INDEX(BAR!A:A,SMALL(IF((LEFT(BAR!A$2:A$1048576,3)="SRT")+(LEFT(BAR!A$2:A$1048576,3)="PAS"),ROW(BAR!A$2:A$1048576)),ROW()-1)),"")</f>
        <v>SRTFC04020059</v>
      </c>
      <c r="B90" t="str">
        <f>IF(COUNTBLANK(A90),"",IF(ISBLANK(VLOOKUP(A90,BAR!A:I,7,FALSE)),"",VLOOKUP(A90,BAR!A:I,7,FALSE)))</f>
        <v/>
      </c>
    </row>
    <row r="91" spans="1:2">
      <c r="A91" t="str" cm="1">
        <f t="array" ref="A91">IFERROR(INDEX(BAR!A:A,SMALL(IF((LEFT(BAR!A$2:A$1048576,3)="SRT")+(LEFT(BAR!A$2:A$1048576,3)="PAS"),ROW(BAR!A$2:A$1048576)),ROW()-1)),"")</f>
        <v>SRTFC04020060</v>
      </c>
      <c r="B91" t="str">
        <f>IF(COUNTBLANK(A91),"",IF(ISBLANK(VLOOKUP(A91,BAR!A:I,7,FALSE)),"",VLOOKUP(A91,BAR!A:I,7,FALSE)))</f>
        <v/>
      </c>
    </row>
    <row r="92" spans="1:2">
      <c r="A92" t="str" cm="1">
        <f t="array" ref="A92">IFERROR(INDEX(BAR!A:A,SMALL(IF((LEFT(BAR!A$2:A$1048576,3)="SRT")+(LEFT(BAR!A$2:A$1048576,3)="PAS"),ROW(BAR!A$2:A$1048576)),ROW()-1)),"")</f>
        <v>SRTFD08020038</v>
      </c>
      <c r="B92" t="str">
        <f>IF(COUNTBLANK(A92),"",IF(ISBLANK(VLOOKUP(A92,BAR!A:I,7,FALSE)),"",VLOOKUP(A92,BAR!A:I,7,FALSE)))</f>
        <v/>
      </c>
    </row>
    <row r="93" spans="1:2">
      <c r="A93" t="str" cm="1">
        <f t="array" ref="A93">IFERROR(INDEX(BAR!A:A,SMALL(IF((LEFT(BAR!A$2:A$1048576,3)="SRT")+(LEFT(BAR!A$2:A$1048576,3)="PAS"),ROW(BAR!A$2:A$1048576)),ROW()-1)),"")</f>
        <v>PASFD01010102</v>
      </c>
      <c r="B93" t="str">
        <f>IF(COUNTBLANK(A93),"",IF(ISBLANK(VLOOKUP(A93,BAR!A:I,7,FALSE)),"",VLOOKUP(A93,BAR!A:I,7,FALSE)))</f>
        <v/>
      </c>
    </row>
    <row r="94" spans="1:2">
      <c r="A94" t="str" cm="1">
        <f t="array" ref="A94">IFERROR(INDEX(BAR!A:A,SMALL(IF((LEFT(BAR!A$2:A$1048576,3)="SRT")+(LEFT(BAR!A$2:A$1048576,3)="PAS"),ROW(BAR!A$2:A$1048576)),ROW()-1)),"")</f>
        <v>PASFD01010076</v>
      </c>
      <c r="B94" t="str">
        <f>IF(COUNTBLANK(A94),"",IF(ISBLANK(VLOOKUP(A94,BAR!A:I,7,FALSE)),"",VLOOKUP(A94,BAR!A:I,7,FALSE)))</f>
        <v/>
      </c>
    </row>
    <row r="95" spans="1:2">
      <c r="A95" t="str" cm="1">
        <f t="array" ref="A95">IFERROR(INDEX(BAR!A:A,SMALL(IF((LEFT(BAR!A$2:A$1048576,3)="SRT")+(LEFT(BAR!A$2:A$1048576,3)="PAS"),ROW(BAR!A$2:A$1048576)),ROW()-1)),"")</f>
        <v>PASFD01010041</v>
      </c>
      <c r="B95" t="str">
        <f>IF(COUNTBLANK(A95),"",IF(ISBLANK(VLOOKUP(A95,BAR!A:I,7,FALSE)),"",VLOOKUP(A95,BAR!A:I,7,FALSE)))</f>
        <v/>
      </c>
    </row>
    <row r="96" spans="1:2">
      <c r="A96" t="str" cm="1">
        <f t="array" ref="A96">IFERROR(INDEX(BAR!A:A,SMALL(IF((LEFT(BAR!A$2:A$1048576,3)="SRT")+(LEFT(BAR!A$2:A$1048576,3)="PAS"),ROW(BAR!A$2:A$1048576)),ROW()-1)),"")</f>
        <v>SRTFD01040013</v>
      </c>
      <c r="B96" t="str">
        <f>IF(COUNTBLANK(A96),"",IF(ISBLANK(VLOOKUP(A96,BAR!A:I,7,FALSE)),"",VLOOKUP(A96,BAR!A:I,7,FALSE)))</f>
        <v/>
      </c>
    </row>
    <row r="97" spans="1:2">
      <c r="A97" t="str" cm="1">
        <f t="array" ref="A97">IFERROR(INDEX(BAR!A:A,SMALL(IF((LEFT(BAR!A$2:A$1048576,3)="SRT")+(LEFT(BAR!A$2:A$1048576,3)="PAS"),ROW(BAR!A$2:A$1048576)),ROW()-1)),"")</f>
        <v>SRTFD01040014</v>
      </c>
      <c r="B97" t="str">
        <f>IF(COUNTBLANK(A97),"",IF(ISBLANK(VLOOKUP(A97,BAR!A:I,7,FALSE)),"",VLOOKUP(A97,BAR!A:I,7,FALSE)))</f>
        <v/>
      </c>
    </row>
    <row r="98" spans="1:2">
      <c r="A98" t="str" cm="1">
        <f t="array" ref="A98">IFERROR(INDEX(BAR!A:A,SMALL(IF((LEFT(BAR!A$2:A$1048576,3)="SRT")+(LEFT(BAR!A$2:A$1048576,3)="PAS"),ROW(BAR!A$2:A$1048576)),ROW()-1)),"")</f>
        <v>SRTFD01040010</v>
      </c>
      <c r="B98" t="str">
        <f>IF(COUNTBLANK(A98),"",IF(ISBLANK(VLOOKUP(A98,BAR!A:I,7,FALSE)),"",VLOOKUP(A98,BAR!A:I,7,FALSE)))</f>
        <v/>
      </c>
    </row>
    <row r="99" spans="1:2">
      <c r="A99" t="str" cm="1">
        <f t="array" ref="A99">IFERROR(INDEX(BAR!A:A,SMALL(IF((LEFT(BAR!A$2:A$1048576,3)="SRT")+(LEFT(BAR!A$2:A$1048576,3)="PAS"),ROW(BAR!A$2:A$1048576)),ROW()-1)),"")</f>
        <v>SRTND07010472</v>
      </c>
      <c r="B99" t="str">
        <f>IF(COUNTBLANK(A99),"",IF(ISBLANK(VLOOKUP(A99,BAR!A:I,7,FALSE)),"",VLOOKUP(A99,BAR!A:I,7,FALSE)))</f>
        <v/>
      </c>
    </row>
    <row r="100" spans="1:2">
      <c r="A100" t="str" cm="1">
        <f t="array" ref="A100">IFERROR(INDEX(BAR!A:A,SMALL(IF((LEFT(BAR!A$2:A$1048576,3)="SRT")+(LEFT(BAR!A$2:A$1048576,3)="PAS"),ROW(BAR!A$2:A$1048576)),ROW()-1)),"")</f>
        <v>SRTND07010382</v>
      </c>
      <c r="B100" t="str">
        <f>IF(COUNTBLANK(A100),"",IF(ISBLANK(VLOOKUP(A100,BAR!A:I,7,FALSE)),"",VLOOKUP(A100,BAR!A:I,7,FALSE)))</f>
        <v/>
      </c>
    </row>
    <row r="101" spans="1:2">
      <c r="A101" t="str" cm="1">
        <f t="array" ref="A101">IFERROR(INDEX(BAR!A:A,SMALL(IF((LEFT(BAR!A$2:A$1048576,3)="SRT")+(LEFT(BAR!A$2:A$1048576,3)="PAS"),ROW(BAR!A$2:A$1048576)),ROW()-1)),"")</f>
        <v>SRTND07010396</v>
      </c>
      <c r="B101" t="str">
        <f>IF(COUNTBLANK(A101),"",IF(ISBLANK(VLOOKUP(A101,BAR!A:I,7,FALSE)),"",VLOOKUP(A101,BAR!A:I,7,FALSE)))</f>
        <v/>
      </c>
    </row>
    <row r="102" spans="1:2">
      <c r="A102" t="str" cm="1">
        <f t="array" ref="A102">IFERROR(INDEX(BAR!A:A,SMALL(IF((LEFT(BAR!A$2:A$1048576,3)="SRT")+(LEFT(BAR!A$2:A$1048576,3)="PAS"),ROW(BAR!A$2:A$1048576)),ROW()-1)),"")</f>
        <v>SRTND07010416</v>
      </c>
      <c r="B102" t="str">
        <f>IF(COUNTBLANK(A102),"",IF(ISBLANK(VLOOKUP(A102,BAR!A:I,7,FALSE)),"",VLOOKUP(A102,BAR!A:I,7,FALSE)))</f>
        <v/>
      </c>
    </row>
    <row r="103" spans="1:2">
      <c r="A103" t="str" cm="1">
        <f t="array" ref="A103">IFERROR(INDEX(BAR!A:A,SMALL(IF((LEFT(BAR!A$2:A$1048576,3)="SRT")+(LEFT(BAR!A$2:A$1048576,3)="PAS"),ROW(BAR!A$2:A$1048576)),ROW()-1)),"")</f>
        <v>SRTND07010401</v>
      </c>
      <c r="B103" t="str">
        <f>IF(COUNTBLANK(A103),"",IF(ISBLANK(VLOOKUP(A103,BAR!A:I,7,FALSE)),"",VLOOKUP(A103,BAR!A:I,7,FALSE)))</f>
        <v/>
      </c>
    </row>
    <row r="104" spans="1:2">
      <c r="A104" t="str" cm="1">
        <f t="array" ref="A104">IFERROR(INDEX(BAR!A:A,SMALL(IF((LEFT(BAR!A$2:A$1048576,3)="SRT")+(LEFT(BAR!A$2:A$1048576,3)="PAS"),ROW(BAR!A$2:A$1048576)),ROW()-1)),"")</f>
        <v>SRTND07010427</v>
      </c>
      <c r="B104" t="str">
        <f>IF(COUNTBLANK(A104),"",IF(ISBLANK(VLOOKUP(A104,BAR!A:I,7,FALSE)),"",VLOOKUP(A104,BAR!A:I,7,FALSE)))</f>
        <v/>
      </c>
    </row>
    <row r="105" spans="1:2">
      <c r="A105" t="str" cm="1">
        <f t="array" ref="A105">IFERROR(INDEX(BAR!A:A,SMALL(IF((LEFT(BAR!A$2:A$1048576,3)="SRT")+(LEFT(BAR!A$2:A$1048576,3)="PAS"),ROW(BAR!A$2:A$1048576)),ROW()-1)),"")</f>
        <v>SRTND07010445</v>
      </c>
      <c r="B105" t="str">
        <f>IF(COUNTBLANK(A105),"",IF(ISBLANK(VLOOKUP(A105,BAR!A:I,7,FALSE)),"",VLOOKUP(A105,BAR!A:I,7,FALSE)))</f>
        <v/>
      </c>
    </row>
    <row r="106" spans="1:2">
      <c r="A106" t="str" cm="1">
        <f t="array" ref="A106">IFERROR(INDEX(BAR!A:A,SMALL(IF((LEFT(BAR!A$2:A$1048576,3)="SRT")+(LEFT(BAR!A$2:A$1048576,3)="PAS"),ROW(BAR!A$2:A$1048576)),ROW()-1)),"")</f>
        <v>SRTND07010420</v>
      </c>
      <c r="B106" t="str">
        <f>IF(COUNTBLANK(A106),"",IF(ISBLANK(VLOOKUP(A106,BAR!A:I,7,FALSE)),"",VLOOKUP(A106,BAR!A:I,7,FALSE)))</f>
        <v/>
      </c>
    </row>
    <row r="107" spans="1:2">
      <c r="A107" t="str" cm="1">
        <f t="array" ref="A107">IFERROR(INDEX(BAR!A:A,SMALL(IF((LEFT(BAR!A$2:A$1048576,3)="SRT")+(LEFT(BAR!A$2:A$1048576,3)="PAS"),ROW(BAR!A$2:A$1048576)),ROW()-1)),"")</f>
        <v>SRTND07010430</v>
      </c>
      <c r="B107" t="str">
        <f>IF(COUNTBLANK(A107),"",IF(ISBLANK(VLOOKUP(A107,BAR!A:I,7,FALSE)),"",VLOOKUP(A107,BAR!A:I,7,FALSE)))</f>
        <v/>
      </c>
    </row>
    <row r="108" spans="1:2">
      <c r="A108" t="str" cm="1">
        <f t="array" ref="A108">IFERROR(INDEX(BAR!A:A,SMALL(IF((LEFT(BAR!A$2:A$1048576,3)="SRT")+(LEFT(BAR!A$2:A$1048576,3)="PAS"),ROW(BAR!A$2:A$1048576)),ROW()-1)),"")</f>
        <v>SRTND07010480</v>
      </c>
      <c r="B108" t="str">
        <f>IF(COUNTBLANK(A108),"",IF(ISBLANK(VLOOKUP(A108,BAR!A:I,7,FALSE)),"",VLOOKUP(A108,BAR!A:I,7,FALSE)))</f>
        <v/>
      </c>
    </row>
    <row r="109" spans="1:2">
      <c r="A109" t="str" cm="1">
        <f t="array" ref="A109">IFERROR(INDEX(BAR!A:A,SMALL(IF((LEFT(BAR!A$2:A$1048576,3)="SRT")+(LEFT(BAR!A$2:A$1048576,3)="PAS"),ROW(BAR!A$2:A$1048576)),ROW()-1)),"")</f>
        <v>SRTFD04020001</v>
      </c>
      <c r="B109" t="str">
        <f>IF(COUNTBLANK(A109),"",IF(ISBLANK(VLOOKUP(A109,BAR!A:I,7,FALSE)),"",VLOOKUP(A109,BAR!A:I,7,FALSE)))</f>
        <v/>
      </c>
    </row>
    <row r="110" spans="1:2">
      <c r="A110" t="str" cm="1">
        <f t="array" ref="A110">IFERROR(INDEX(BAR!A:A,SMALL(IF((LEFT(BAR!A$2:A$1048576,3)="SRT")+(LEFT(BAR!A$2:A$1048576,3)="PAS"),ROW(BAR!A$2:A$1048576)),ROW()-1)),"")</f>
        <v>SRTFD09010003</v>
      </c>
      <c r="B110" t="str">
        <f>IF(COUNTBLANK(A110),"",IF(ISBLANK(VLOOKUP(A110,BAR!A:I,7,FALSE)),"",VLOOKUP(A110,BAR!A:I,7,FALSE)))</f>
        <v/>
      </c>
    </row>
    <row r="111" spans="1:2">
      <c r="A111" t="str" cm="1">
        <f t="array" ref="A111">IFERROR(INDEX(BAR!A:A,SMALL(IF((LEFT(BAR!A$2:A$1048576,3)="SRT")+(LEFT(BAR!A$2:A$1048576,3)="PAS"),ROW(BAR!A$2:A$1048576)),ROW()-1)),"")</f>
        <v>SRTFD09010013</v>
      </c>
      <c r="B111" t="str">
        <f>IF(COUNTBLANK(A111),"",IF(ISBLANK(VLOOKUP(A111,BAR!A:I,7,FALSE)),"",VLOOKUP(A111,BAR!A:I,7,FALSE)))</f>
        <v/>
      </c>
    </row>
    <row r="112" spans="1:2">
      <c r="A112" t="str" cm="1">
        <f t="array" ref="A112">IFERROR(INDEX(BAR!A:A,SMALL(IF((LEFT(BAR!A$2:A$1048576,3)="SRT")+(LEFT(BAR!A$2:A$1048576,3)="PAS"),ROW(BAR!A$2:A$1048576)),ROW()-1)),"")</f>
        <v>SRTFD01070075</v>
      </c>
      <c r="B112" t="str">
        <f>IF(COUNTBLANK(A112),"",IF(ISBLANK(VLOOKUP(A112,BAR!A:I,7,FALSE)),"",VLOOKUP(A112,BAR!A:I,7,FALSE)))</f>
        <v/>
      </c>
    </row>
    <row r="113" spans="1:2">
      <c r="A113" t="str" cm="1">
        <f t="array" ref="A113">IFERROR(INDEX(BAR!A:A,SMALL(IF((LEFT(BAR!A$2:A$1048576,3)="SRT")+(LEFT(BAR!A$2:A$1048576,3)="PAS"),ROW(BAR!A$2:A$1048576)),ROW()-1)),"")</f>
        <v>SRTFD09010014</v>
      </c>
      <c r="B113" t="str">
        <f>IF(COUNTBLANK(A113),"",IF(ISBLANK(VLOOKUP(A113,BAR!A:I,7,FALSE)),"",VLOOKUP(A113,BAR!A:I,7,FALSE)))</f>
        <v/>
      </c>
    </row>
    <row r="114" spans="1:2">
      <c r="A114" t="str" cm="1">
        <f t="array" ref="A114">IFERROR(INDEX(BAR!A:A,SMALL(IF((LEFT(BAR!A$2:A$1048576,3)="SRT")+(LEFT(BAR!A$2:A$1048576,3)="PAS"),ROW(BAR!A$2:A$1048576)),ROW()-1)),"")</f>
        <v>SRTFD05050041</v>
      </c>
      <c r="B114" t="str">
        <f>IF(COUNTBLANK(A114),"",IF(ISBLANK(VLOOKUP(A114,BAR!A:I,7,FALSE)),"",VLOOKUP(A114,BAR!A:I,7,FALSE)))</f>
        <v/>
      </c>
    </row>
    <row r="115" spans="1:2">
      <c r="A115" t="str" cm="1">
        <f t="array" ref="A115">IFERROR(INDEX(BAR!A:A,SMALL(IF((LEFT(BAR!A$2:A$1048576,3)="SRT")+(LEFT(BAR!A$2:A$1048576,3)="PAS"),ROW(BAR!A$2:A$1048576)),ROW()-1)),"")</f>
        <v>SRTFF01060001</v>
      </c>
      <c r="B115" t="str">
        <f>IF(COUNTBLANK(A115),"",IF(ISBLANK(VLOOKUP(A115,BAR!A:I,7,FALSE)),"",VLOOKUP(A115,BAR!A:I,7,FALSE)))</f>
        <v/>
      </c>
    </row>
    <row r="116" spans="1:2">
      <c r="A116" t="str" cm="1">
        <f t="array" ref="A116">IFERROR(INDEX(BAR!A:A,SMALL(IF((LEFT(BAR!A$2:A$1048576,3)="SRT")+(LEFT(BAR!A$2:A$1048576,3)="PAS"),ROW(BAR!A$2:A$1048576)),ROW()-1)),"")</f>
        <v>SRTFD03030063</v>
      </c>
      <c r="B116" t="str">
        <f>IF(COUNTBLANK(A116),"",IF(ISBLANK(VLOOKUP(A116,BAR!A:I,7,FALSE)),"",VLOOKUP(A116,BAR!A:I,7,FALSE)))</f>
        <v/>
      </c>
    </row>
    <row r="117" spans="1:2">
      <c r="A117" t="str" cm="1">
        <f t="array" ref="A117">IFERROR(INDEX(BAR!A:A,SMALL(IF((LEFT(BAR!A$2:A$1048576,3)="SRT")+(LEFT(BAR!A$2:A$1048576,3)="PAS"),ROW(BAR!A$2:A$1048576)),ROW()-1)),"")</f>
        <v>SRTFD03010015</v>
      </c>
      <c r="B117" t="str">
        <f>IF(COUNTBLANK(A117),"",IF(ISBLANK(VLOOKUP(A117,BAR!A:I,7,FALSE)),"",VLOOKUP(A117,BAR!A:I,7,FALSE)))</f>
        <v/>
      </c>
    </row>
    <row r="118" spans="1:2">
      <c r="A118" t="str" cm="1">
        <f t="array" ref="A118">IFERROR(INDEX(BAR!A:A,SMALL(IF((LEFT(BAR!A$2:A$1048576,3)="SRT")+(LEFT(BAR!A$2:A$1048576,3)="PAS"),ROW(BAR!A$2:A$1048576)),ROW()-1)),"")</f>
        <v>SRTFD03010053</v>
      </c>
      <c r="B118" t="str">
        <f>IF(COUNTBLANK(A118),"",IF(ISBLANK(VLOOKUP(A118,BAR!A:I,7,FALSE)),"",VLOOKUP(A118,BAR!A:I,7,FALSE)))</f>
        <v/>
      </c>
    </row>
    <row r="119" spans="1:2">
      <c r="A119" t="str" cm="1">
        <f t="array" ref="A119">IFERROR(INDEX(BAR!A:A,SMALL(IF((LEFT(BAR!A$2:A$1048576,3)="SRT")+(LEFT(BAR!A$2:A$1048576,3)="PAS"),ROW(BAR!A$2:A$1048576)),ROW()-1)),"")</f>
        <v>SRTND04030040</v>
      </c>
      <c r="B119" t="str">
        <f>IF(COUNTBLANK(A119),"",IF(ISBLANK(VLOOKUP(A119,BAR!A:I,7,FALSE)),"",VLOOKUP(A119,BAR!A:I,7,FALSE)))</f>
        <v/>
      </c>
    </row>
    <row r="120" spans="1:2">
      <c r="A120" t="str" cm="1">
        <f t="array" ref="A120">IFERROR(INDEX(BAR!A:A,SMALL(IF((LEFT(BAR!A$2:A$1048576,3)="SRT")+(LEFT(BAR!A$2:A$1048576,3)="PAS"),ROW(BAR!A$2:A$1048576)),ROW()-1)),"")</f>
        <v>SRTND04030268</v>
      </c>
      <c r="B120" t="str">
        <f>IF(COUNTBLANK(A120),"",IF(ISBLANK(VLOOKUP(A120,BAR!A:I,7,FALSE)),"",VLOOKUP(A120,BAR!A:I,7,FALSE)))</f>
        <v/>
      </c>
    </row>
    <row r="121" spans="1:2">
      <c r="A121" t="str" cm="1">
        <f t="array" ref="A121">IFERROR(INDEX(BAR!A:A,SMALL(IF((LEFT(BAR!A$2:A$1048576,3)="SRT")+(LEFT(BAR!A$2:A$1048576,3)="PAS"),ROW(BAR!A$2:A$1048576)),ROW()-1)),"")</f>
        <v>SRTND04030090</v>
      </c>
      <c r="B121" t="str">
        <f>IF(COUNTBLANK(A121),"",IF(ISBLANK(VLOOKUP(A121,BAR!A:I,7,FALSE)),"",VLOOKUP(A121,BAR!A:I,7,FALSE)))</f>
        <v/>
      </c>
    </row>
    <row r="122" spans="1:2">
      <c r="A122" t="str" cm="1">
        <f t="array" ref="A122">IFERROR(INDEX(BAR!A:A,SMALL(IF((LEFT(BAR!A$2:A$1048576,3)="SRT")+(LEFT(BAR!A$2:A$1048576,3)="PAS"),ROW(BAR!A$2:A$1048576)),ROW()-1)),"")</f>
        <v>SRTND04030092</v>
      </c>
      <c r="B122" t="str">
        <f>IF(COUNTBLANK(A122),"",IF(ISBLANK(VLOOKUP(A122,BAR!A:I,7,FALSE)),"",VLOOKUP(A122,BAR!A:I,7,FALSE)))</f>
        <v/>
      </c>
    </row>
    <row r="123" spans="1:2">
      <c r="A123" t="str" cm="1">
        <f t="array" ref="A123">IFERROR(INDEX(BAR!A:A,SMALL(IF((LEFT(BAR!A$2:A$1048576,3)="SRT")+(LEFT(BAR!A$2:A$1048576,3)="PAS"),ROW(BAR!A$2:A$1048576)),ROW()-1)),"")</f>
        <v>SRTND04030227</v>
      </c>
      <c r="B123" t="str">
        <f>IF(COUNTBLANK(A123),"",IF(ISBLANK(VLOOKUP(A123,BAR!A:I,7,FALSE)),"",VLOOKUP(A123,BAR!A:I,7,FALSE)))</f>
        <v/>
      </c>
    </row>
    <row r="124" spans="1:2">
      <c r="A124" t="str" cm="1">
        <f t="array" ref="A124">IFERROR(INDEX(BAR!A:A,SMALL(IF((LEFT(BAR!A$2:A$1048576,3)="SRT")+(LEFT(BAR!A$2:A$1048576,3)="PAS"),ROW(BAR!A$2:A$1048576)),ROW()-1)),"")</f>
        <v>SRTND04050004</v>
      </c>
      <c r="B124" t="str">
        <f>IF(COUNTBLANK(A124),"",IF(ISBLANK(VLOOKUP(A124,BAR!A:I,7,FALSE)),"",VLOOKUP(A124,BAR!A:I,7,FALSE)))</f>
        <v/>
      </c>
    </row>
    <row r="125" spans="1:2">
      <c r="A125" t="str" cm="1">
        <f t="array" ref="A125">IFERROR(INDEX(BAR!A:A,SMALL(IF((LEFT(BAR!A$2:A$1048576,3)="SRT")+(LEFT(BAR!A$2:A$1048576,3)="PAS"),ROW(BAR!A$2:A$1048576)),ROW()-1)),"")</f>
        <v>SRTND04020373</v>
      </c>
      <c r="B125" t="str">
        <f>IF(COUNTBLANK(A125),"",IF(ISBLANK(VLOOKUP(A125,BAR!A:I,7,FALSE)),"",VLOOKUP(A125,BAR!A:I,7,FALSE)))</f>
        <v/>
      </c>
    </row>
    <row r="126" spans="1:2">
      <c r="A126" t="str" cm="1">
        <f t="array" ref="A126">IFERROR(INDEX(BAR!A:A,SMALL(IF((LEFT(BAR!A$2:A$1048576,3)="SRT")+(LEFT(BAR!A$2:A$1048576,3)="PAS"),ROW(BAR!A$2:A$1048576)),ROW()-1)),"")</f>
        <v>SRTND04020020</v>
      </c>
      <c r="B126" t="str">
        <f>IF(COUNTBLANK(A126),"",IF(ISBLANK(VLOOKUP(A126,BAR!A:I,7,FALSE)),"",VLOOKUP(A126,BAR!A:I,7,FALSE)))</f>
        <v/>
      </c>
    </row>
    <row r="127" spans="1:2">
      <c r="A127" t="str" cm="1">
        <f t="array" ref="A127">IFERROR(INDEX(BAR!A:A,SMALL(IF((LEFT(BAR!A$2:A$1048576,3)="SRT")+(LEFT(BAR!A$2:A$1048576,3)="PAS"),ROW(BAR!A$2:A$1048576)),ROW()-1)),"")</f>
        <v>SRTND04030262</v>
      </c>
      <c r="B127" t="str">
        <f>IF(COUNTBLANK(A127),"",IF(ISBLANK(VLOOKUP(A127,BAR!A:I,7,FALSE)),"",VLOOKUP(A127,BAR!A:I,7,FALSE)))</f>
        <v/>
      </c>
    </row>
    <row r="128" spans="1:2">
      <c r="A128" t="str" cm="1">
        <f t="array" ref="A128">IFERROR(INDEX(BAR!A:A,SMALL(IF((LEFT(BAR!A$2:A$1048576,3)="SRT")+(LEFT(BAR!A$2:A$1048576,3)="PAS"),ROW(BAR!A$2:A$1048576)),ROW()-1)),"")</f>
        <v>SRTND07020039</v>
      </c>
      <c r="B128" t="str">
        <f>IF(COUNTBLANK(A128),"",IF(ISBLANK(VLOOKUP(A128,BAR!A:I,7,FALSE)),"",VLOOKUP(A128,BAR!A:I,7,FALSE)))</f>
        <v/>
      </c>
    </row>
    <row r="129" spans="1:2">
      <c r="A129" t="str" cm="1">
        <f t="array" ref="A129">IFERROR(INDEX(BAR!A:A,SMALL(IF((LEFT(BAR!A$2:A$1048576,3)="SRT")+(LEFT(BAR!A$2:A$1048576,3)="PAS"),ROW(BAR!A$2:A$1048576)),ROW()-1)),"")</f>
        <v>SRTND04020307</v>
      </c>
      <c r="B129" t="str">
        <f>IF(COUNTBLANK(A129),"",IF(ISBLANK(VLOOKUP(A129,BAR!A:I,7,FALSE)),"",VLOOKUP(A129,BAR!A:I,7,FALSE)))</f>
        <v/>
      </c>
    </row>
    <row r="130" spans="1:2">
      <c r="A130" t="str" cm="1">
        <f t="array" ref="A130">IFERROR(INDEX(BAR!A:A,SMALL(IF((LEFT(BAR!A$2:A$1048576,3)="SRT")+(LEFT(BAR!A$2:A$1048576,3)="PAS"),ROW(BAR!A$2:A$1048576)),ROW()-1)),"")</f>
        <v>SRTND04020308</v>
      </c>
      <c r="B130" t="str">
        <f>IF(COUNTBLANK(A130),"",IF(ISBLANK(VLOOKUP(A130,BAR!A:I,7,FALSE)),"",VLOOKUP(A130,BAR!A:I,7,FALSE)))</f>
        <v/>
      </c>
    </row>
    <row r="131" spans="1:2">
      <c r="A131" t="str" cm="1">
        <f t="array" ref="A131">IFERROR(INDEX(BAR!A:A,SMALL(IF((LEFT(BAR!A$2:A$1048576,3)="SRT")+(LEFT(BAR!A$2:A$1048576,3)="PAS"),ROW(BAR!A$2:A$1048576)),ROW()-1)),"")</f>
        <v>SRTFD05010047</v>
      </c>
      <c r="B131" t="str">
        <f>IF(COUNTBLANK(A131),"",IF(ISBLANK(VLOOKUP(A131,BAR!A:I,7,FALSE)),"",VLOOKUP(A131,BAR!A:I,7,FALSE)))</f>
        <v/>
      </c>
    </row>
    <row r="132" spans="1:2">
      <c r="A132" t="str" cm="1">
        <f t="array" ref="A132">IFERROR(INDEX(BAR!A:A,SMALL(IF((LEFT(BAR!A$2:A$1048576,3)="SRT")+(LEFT(BAR!A$2:A$1048576,3)="PAS"),ROW(BAR!A$2:A$1048576)),ROW()-1)),"")</f>
        <v>SRTND04050030</v>
      </c>
      <c r="B132" t="str">
        <f>IF(COUNTBLANK(A132),"",IF(ISBLANK(VLOOKUP(A132,BAR!A:I,7,FALSE)),"",VLOOKUP(A132,BAR!A:I,7,FALSE)))</f>
        <v/>
      </c>
    </row>
    <row r="133" spans="1:2">
      <c r="A133" t="str" cm="1">
        <f t="array" ref="A133">IFERROR(INDEX(BAR!A:A,SMALL(IF((LEFT(BAR!A$2:A$1048576,3)="SRT")+(LEFT(BAR!A$2:A$1048576,3)="PAS"),ROW(BAR!A$2:A$1048576)),ROW()-1)),"")</f>
        <v>SRTND04030229</v>
      </c>
      <c r="B133" t="str">
        <f>IF(COUNTBLANK(A133),"",IF(ISBLANK(VLOOKUP(A133,BAR!A:I,7,FALSE)),"",VLOOKUP(A133,BAR!A:I,7,FALSE)))</f>
        <v/>
      </c>
    </row>
    <row r="134" spans="1:2">
      <c r="A134" t="str" cm="1">
        <f t="array" ref="A134">IFERROR(INDEX(BAR!A:A,SMALL(IF((LEFT(BAR!A$2:A$1048576,3)="SRT")+(LEFT(BAR!A$2:A$1048576,3)="PAS"),ROW(BAR!A$2:A$1048576)),ROW()-1)),"")</f>
        <v>SRTND04050032</v>
      </c>
      <c r="B134" t="str">
        <f>IF(COUNTBLANK(A134),"",IF(ISBLANK(VLOOKUP(A134,BAR!A:I,7,FALSE)),"",VLOOKUP(A134,BAR!A:I,7,FALSE)))</f>
        <v/>
      </c>
    </row>
    <row r="135" spans="1:2">
      <c r="A135" t="str" cm="1">
        <f t="array" ref="A135">IFERROR(INDEX(BAR!A:A,SMALL(IF((LEFT(BAR!A$2:A$1048576,3)="SRT")+(LEFT(BAR!A$2:A$1048576,3)="PAS"),ROW(BAR!A$2:A$1048576)),ROW()-1)),"")</f>
        <v>SRTND04020352</v>
      </c>
      <c r="B135" t="str">
        <f>IF(COUNTBLANK(A135),"",IF(ISBLANK(VLOOKUP(A135,BAR!A:I,7,FALSE)),"",VLOOKUP(A135,BAR!A:I,7,FALSE)))</f>
        <v/>
      </c>
    </row>
    <row r="136" spans="1:2">
      <c r="A136" t="str" cm="1">
        <f t="array" ref="A136">IFERROR(INDEX(BAR!A:A,SMALL(IF((LEFT(BAR!A$2:A$1048576,3)="SRT")+(LEFT(BAR!A$2:A$1048576,3)="PAS"),ROW(BAR!A$2:A$1048576)),ROW()-1)),"")</f>
        <v>SRTND04020361</v>
      </c>
      <c r="B136" t="str">
        <f>IF(COUNTBLANK(A136),"",IF(ISBLANK(VLOOKUP(A136,BAR!A:I,7,FALSE)),"",VLOOKUP(A136,BAR!A:I,7,FALSE)))</f>
        <v/>
      </c>
    </row>
    <row r="137" spans="1:2">
      <c r="A137" t="str" cm="1">
        <f t="array" ref="A137">IFERROR(INDEX(BAR!A:A,SMALL(IF((LEFT(BAR!A$2:A$1048576,3)="SRT")+(LEFT(BAR!A$2:A$1048576,3)="PAS"),ROW(BAR!A$2:A$1048576)),ROW()-1)),"")</f>
        <v>SRTND04020234</v>
      </c>
      <c r="B137" t="str">
        <f>IF(COUNTBLANK(A137),"",IF(ISBLANK(VLOOKUP(A137,BAR!A:I,7,FALSE)),"",VLOOKUP(A137,BAR!A:I,7,FALSE)))</f>
        <v/>
      </c>
    </row>
    <row r="138" spans="1:2">
      <c r="A138" t="str" cm="1">
        <f t="array" ref="A138">IFERROR(INDEX(BAR!A:A,SMALL(IF((LEFT(BAR!A$2:A$1048576,3)="SRT")+(LEFT(BAR!A$2:A$1048576,3)="PAS"),ROW(BAR!A$2:A$1048576)),ROW()-1)),"")</f>
        <v>SRTND06020057</v>
      </c>
      <c r="B138" t="str">
        <f>IF(COUNTBLANK(A138),"",IF(ISBLANK(VLOOKUP(A138,BAR!A:I,7,FALSE)),"",VLOOKUP(A138,BAR!A:I,7,FALSE)))</f>
        <v/>
      </c>
    </row>
    <row r="139" spans="1:2">
      <c r="A139" t="str" cm="1">
        <f t="array" ref="A139">IFERROR(INDEX(BAR!A:A,SMALL(IF((LEFT(BAR!A$2:A$1048576,3)="SRT")+(LEFT(BAR!A$2:A$1048576,3)="PAS"),ROW(BAR!A$2:A$1048576)),ROW()-1)),"")</f>
        <v/>
      </c>
      <c r="B139" t="str">
        <f>IF(COUNTBLANK(A139),"",IF(ISBLANK(VLOOKUP(A139,BAR!A:I,7,FALSE)),"",VLOOKUP(A139,BAR!A:I,7,FALSE)))</f>
        <v/>
      </c>
    </row>
    <row r="140" spans="1:2">
      <c r="A140" t="str" cm="1">
        <f t="array" ref="A140">IFERROR(INDEX(BAR!A:A,SMALL(IF((LEFT(BAR!A$2:A$1048576,3)="SRT")+(LEFT(BAR!A$2:A$1048576,3)="PAS"),ROW(BAR!A$2:A$1048576)),ROW()-1)),"")</f>
        <v/>
      </c>
      <c r="B140" t="str">
        <f>IF(COUNTBLANK(A140),"",IF(ISBLANK(VLOOKUP(A140,BAR!A:I,7,FALSE)),"",VLOOKUP(A140,BAR!A:I,7,FALSE)))</f>
        <v/>
      </c>
    </row>
    <row r="141" spans="1:2">
      <c r="A141" t="str" cm="1">
        <f t="array" ref="A141">IFERROR(INDEX(BAR!A:A,SMALL(IF((LEFT(BAR!A$2:A$1048576,3)="SRT")+(LEFT(BAR!A$2:A$1048576,3)="PAS"),ROW(BAR!A$2:A$1048576)),ROW()-1)),"")</f>
        <v/>
      </c>
      <c r="B141" t="str">
        <f>IF(COUNTBLANK(A141),"",IF(ISBLANK(VLOOKUP(A141,BAR!A:I,7,FALSE)),"",VLOOKUP(A141,BAR!A:I,7,FALSE)))</f>
        <v/>
      </c>
    </row>
    <row r="142" spans="1:2">
      <c r="A142" t="str" cm="1">
        <f t="array" ref="A142">IFERROR(INDEX(BAR!A:A,SMALL(IF((LEFT(BAR!A$2:A$1048576,3)="SRT")+(LEFT(BAR!A$2:A$1048576,3)="PAS"),ROW(BAR!A$2:A$1048576)),ROW()-1)),"")</f>
        <v/>
      </c>
      <c r="B142" t="str">
        <f>IF(COUNTBLANK(A142),"",IF(ISBLANK(VLOOKUP(A142,BAR!A:I,7,FALSE)),"",VLOOKUP(A142,BAR!A:I,7,FALSE)))</f>
        <v/>
      </c>
    </row>
    <row r="143" spans="1:2">
      <c r="A143" t="str" cm="1">
        <f t="array" ref="A143">IFERROR(INDEX(BAR!A:A,SMALL(IF((LEFT(BAR!A$2:A$1048576,3)="SRT")+(LEFT(BAR!A$2:A$1048576,3)="PAS"),ROW(BAR!A$2:A$1048576)),ROW()-1)),"")</f>
        <v/>
      </c>
      <c r="B143" t="str">
        <f>IF(COUNTBLANK(A143),"",IF(ISBLANK(VLOOKUP(A143,BAR!A:I,7,FALSE)),"",VLOOKUP(A143,BAR!A:I,7,FALSE)))</f>
        <v/>
      </c>
    </row>
    <row r="144" spans="1:2">
      <c r="A144" t="str" cm="1">
        <f t="array" ref="A144">IFERROR(INDEX(BAR!A:A,SMALL(IF((LEFT(BAR!A$2:A$1048576,3)="SRT")+(LEFT(BAR!A$2:A$1048576,3)="PAS"),ROW(BAR!A$2:A$1048576)),ROW()-1)),"")</f>
        <v/>
      </c>
      <c r="B144" t="str">
        <f>IF(COUNTBLANK(A144),"",IF(ISBLANK(VLOOKUP(A144,BAR!A:I,7,FALSE)),"",VLOOKUP(A144,BAR!A:I,7,FALSE)))</f>
        <v/>
      </c>
    </row>
    <row r="145" spans="1:2">
      <c r="A145" t="str" cm="1">
        <f t="array" ref="A145">IFERROR(INDEX(BAR!A:A,SMALL(IF((LEFT(BAR!A$2:A$1048576,3)="SRT")+(LEFT(BAR!A$2:A$1048576,3)="PAS"),ROW(BAR!A$2:A$1048576)),ROW()-1)),"")</f>
        <v/>
      </c>
      <c r="B145" t="str">
        <f>IF(COUNTBLANK(A145),"",IF(ISBLANK(VLOOKUP(A145,BAR!A:I,7,FALSE)),"",VLOOKUP(A145,BAR!A:I,7,FALSE)))</f>
        <v/>
      </c>
    </row>
    <row r="146" spans="1:2">
      <c r="A146" t="str" cm="1">
        <f t="array" ref="A146">IFERROR(INDEX(BAR!A:A,SMALL(IF((LEFT(BAR!A$2:A$1048576,3)="SRT")+(LEFT(BAR!A$2:A$1048576,3)="PAS"),ROW(BAR!A$2:A$1048576)),ROW()-1)),"")</f>
        <v/>
      </c>
      <c r="B146" t="str">
        <f>IF(COUNTBLANK(A146),"",IF(ISBLANK(VLOOKUP(A146,BAR!A:I,7,FALSE)),"",VLOOKUP(A146,BAR!A:I,7,FALSE)))</f>
        <v/>
      </c>
    </row>
    <row r="147" spans="1:2">
      <c r="A147" t="str" cm="1">
        <f t="array" ref="A147">IFERROR(INDEX(BAR!A:A,SMALL(IF((LEFT(BAR!A$2:A$1048576,3)="SRT")+(LEFT(BAR!A$2:A$1048576,3)="PAS"),ROW(BAR!A$2:A$1048576)),ROW()-1)),"")</f>
        <v/>
      </c>
      <c r="B147" t="str">
        <f>IF(COUNTBLANK(A147),"",IF(ISBLANK(VLOOKUP(A147,BAR!A:I,7,FALSE)),"",VLOOKUP(A147,BAR!A:I,7,FALSE)))</f>
        <v/>
      </c>
    </row>
    <row r="148" spans="1:2">
      <c r="A148" t="str" cm="1">
        <f t="array" ref="A148">IFERROR(INDEX(BAR!A:A,SMALL(IF((LEFT(BAR!A$2:A$1048576,3)="SRT")+(LEFT(BAR!A$2:A$1048576,3)="PAS"),ROW(BAR!A$2:A$1048576)),ROW()-1)),"")</f>
        <v/>
      </c>
      <c r="B148" t="str">
        <f>IF(COUNTBLANK(A148),"",IF(ISBLANK(VLOOKUP(A148,BAR!A:I,7,FALSE)),"",VLOOKUP(A148,BAR!A:I,7,FALSE)))</f>
        <v/>
      </c>
    </row>
    <row r="149" spans="1:2">
      <c r="A149" t="str" cm="1">
        <f t="array" ref="A149">IFERROR(INDEX(BAR!A:A,SMALL(IF((LEFT(BAR!A$2:A$1048576,3)="SRT")+(LEFT(BAR!A$2:A$1048576,3)="PAS"),ROW(BAR!A$2:A$1048576)),ROW()-1)),"")</f>
        <v/>
      </c>
      <c r="B149" t="str">
        <f>IF(COUNTBLANK(A149),"",IF(ISBLANK(VLOOKUP(A149,BAR!A:I,7,FALSE)),"",VLOOKUP(A149,BAR!A:I,7,FALSE)))</f>
        <v/>
      </c>
    </row>
    <row r="150" spans="1:2">
      <c r="A150" t="str" cm="1">
        <f t="array" ref="A150">IFERROR(INDEX(BAR!A:A,SMALL(IF((LEFT(BAR!A$2:A$1048576,3)="SRT")+(LEFT(BAR!A$2:A$1048576,3)="PAS"),ROW(BAR!A$2:A$1048576)),ROW()-1)),"")</f>
        <v/>
      </c>
      <c r="B150" t="str">
        <f>IF(COUNTBLANK(A150),"",IF(ISBLANK(VLOOKUP(A150,BAR!A:I,7,FALSE)),"",VLOOKUP(A150,BAR!A:I,7,FALSE)))</f>
        <v/>
      </c>
    </row>
    <row r="151" spans="1:2">
      <c r="A151" t="str" cm="1">
        <f t="array" ref="A151">IFERROR(INDEX(BAR!A:A,SMALL(IF((LEFT(BAR!A$2:A$1048576,3)="SRT")+(LEFT(BAR!A$2:A$1048576,3)="PAS"),ROW(BAR!A$2:A$1048576)),ROW()-1)),"")</f>
        <v/>
      </c>
      <c r="B151" t="str">
        <f>IF(COUNTBLANK(A151),"",IF(ISBLANK(VLOOKUP(A151,BAR!A:I,7,FALSE)),"",VLOOKUP(A151,BAR!A:I,7,FALSE)))</f>
        <v/>
      </c>
    </row>
    <row r="152" spans="1:2">
      <c r="A152" t="str" cm="1">
        <f t="array" ref="A152">IFERROR(INDEX(BAR!A:A,SMALL(IF((LEFT(BAR!A$2:A$1048576,3)="SRT")+(LEFT(BAR!A$2:A$1048576,3)="PAS"),ROW(BAR!A$2:A$1048576)),ROW()-1)),"")</f>
        <v/>
      </c>
      <c r="B152" t="str">
        <f>IF(COUNTBLANK(A152),"",IF(ISBLANK(VLOOKUP(A152,BAR!A:I,7,FALSE)),"",VLOOKUP(A152,BAR!A:I,7,FALSE)))</f>
        <v/>
      </c>
    </row>
    <row r="153" spans="1:2">
      <c r="A153" t="str" cm="1">
        <f t="array" ref="A153">IFERROR(INDEX(BAR!A:A,SMALL(IF((LEFT(BAR!A$2:A$1048576,3)="SRT")+(LEFT(BAR!A$2:A$1048576,3)="PAS"),ROW(BAR!A$2:A$1048576)),ROW()-1)),"")</f>
        <v/>
      </c>
      <c r="B153" t="str">
        <f>IF(COUNTBLANK(A153),"",IF(ISBLANK(VLOOKUP(A153,BAR!A:I,7,FALSE)),"",VLOOKUP(A153,BAR!A:I,7,FALSE)))</f>
        <v/>
      </c>
    </row>
    <row r="154" spans="1:2">
      <c r="A154" t="str" cm="1">
        <f t="array" ref="A154">IFERROR(INDEX(BAR!A:A,SMALL(IF((LEFT(BAR!A$2:A$1048576,3)="SRT")+(LEFT(BAR!A$2:A$1048576,3)="PAS"),ROW(BAR!A$2:A$1048576)),ROW()-1)),"")</f>
        <v/>
      </c>
      <c r="B154" t="str">
        <f>IF(COUNTBLANK(A154),"",IF(ISBLANK(VLOOKUP(A154,BAR!A:I,7,FALSE)),"",VLOOKUP(A154,BAR!A:I,7,FALSE)))</f>
        <v/>
      </c>
    </row>
    <row r="155" spans="1:2">
      <c r="A155" t="str" cm="1">
        <f t="array" ref="A155">IFERROR(INDEX(BAR!A:A,SMALL(IF((LEFT(BAR!A$2:A$1048576,3)="SRT")+(LEFT(BAR!A$2:A$1048576,3)="PAS"),ROW(BAR!A$2:A$1048576)),ROW()-1)),"")</f>
        <v/>
      </c>
      <c r="B155" t="str">
        <f>IF(COUNTBLANK(A155),"",IF(ISBLANK(VLOOKUP(A155,BAR!A:I,7,FALSE)),"",VLOOKUP(A155,BAR!A:I,7,FALSE)))</f>
        <v/>
      </c>
    </row>
    <row r="156" spans="1:2">
      <c r="A156" t="str" cm="1">
        <f t="array" ref="A156">IFERROR(INDEX(BAR!A:A,SMALL(IF((LEFT(BAR!A$2:A$1048576,3)="SRT")+(LEFT(BAR!A$2:A$1048576,3)="PAS"),ROW(BAR!A$2:A$1048576)),ROW()-1)),"")</f>
        <v/>
      </c>
      <c r="B156" t="str">
        <f>IF(COUNTBLANK(A156),"",IF(ISBLANK(VLOOKUP(A156,BAR!A:I,7,FALSE)),"",VLOOKUP(A156,BAR!A:I,7,FALSE)))</f>
        <v/>
      </c>
    </row>
    <row r="157" spans="1:2">
      <c r="A157" t="str" cm="1">
        <f t="array" ref="A157">IFERROR(INDEX(BAR!A:A,SMALL(IF((LEFT(BAR!A$2:A$1048576,3)="SRT")+(LEFT(BAR!A$2:A$1048576,3)="PAS"),ROW(BAR!A$2:A$1048576)),ROW()-1)),"")</f>
        <v/>
      </c>
      <c r="B157" t="str">
        <f>IF(COUNTBLANK(A157),"",IF(ISBLANK(VLOOKUP(A157,BAR!A:I,7,FALSE)),"",VLOOKUP(A157,BAR!A:I,7,FALSE)))</f>
        <v/>
      </c>
    </row>
    <row r="158" spans="1:2">
      <c r="A158" t="str" cm="1">
        <f t="array" ref="A158">IFERROR(INDEX(BAR!A:A,SMALL(IF((LEFT(BAR!A$2:A$1048576,3)="SRT")+(LEFT(BAR!A$2:A$1048576,3)="PAS"),ROW(BAR!A$2:A$1048576)),ROW()-1)),"")</f>
        <v/>
      </c>
      <c r="B158" t="str">
        <f>IF(COUNTBLANK(A158),"",IF(ISBLANK(VLOOKUP(A158,BAR!A:I,7,FALSE)),"",VLOOKUP(A158,BAR!A:I,7,FALSE)))</f>
        <v/>
      </c>
    </row>
    <row r="159" spans="1:2">
      <c r="A159" t="str" cm="1">
        <f t="array" ref="A159">IFERROR(INDEX(BAR!A:A,SMALL(IF((LEFT(BAR!A$2:A$1048576,3)="SRT")+(LEFT(BAR!A$2:A$1048576,3)="PAS"),ROW(BAR!A$2:A$1048576)),ROW()-1)),"")</f>
        <v/>
      </c>
      <c r="B159" t="str">
        <f>IF(COUNTBLANK(A159),"",IF(ISBLANK(VLOOKUP(A159,BAR!A:I,7,FALSE)),"",VLOOKUP(A159,BAR!A:I,7,FALSE)))</f>
        <v/>
      </c>
    </row>
    <row r="160" spans="1:2">
      <c r="A160" t="str" cm="1">
        <f t="array" ref="A160">IFERROR(INDEX(BAR!A:A,SMALL(IF((LEFT(BAR!A$2:A$1048576,3)="SRT")+(LEFT(BAR!A$2:A$1048576,3)="PAS"),ROW(BAR!A$2:A$1048576)),ROW()-1)),"")</f>
        <v/>
      </c>
      <c r="B160" t="str">
        <f>IF(COUNTBLANK(A160),"",IF(ISBLANK(VLOOKUP(A160,BAR!A:I,7,FALSE)),"",VLOOKUP(A160,BAR!A:I,7,FALSE)))</f>
        <v/>
      </c>
    </row>
    <row r="161" spans="1:2">
      <c r="A161" t="str" cm="1">
        <f t="array" ref="A161">IFERROR(INDEX(BAR!A:A,SMALL(IF((LEFT(BAR!A$2:A$1048576,3)="SRT")+(LEFT(BAR!A$2:A$1048576,3)="PAS"),ROW(BAR!A$2:A$1048576)),ROW()-1)),"")</f>
        <v/>
      </c>
      <c r="B161" t="str">
        <f>IF(COUNTBLANK(A161),"",IF(ISBLANK(VLOOKUP(A161,BAR!A:I,7,FALSE)),"",VLOOKUP(A161,BAR!A:I,7,FALSE)))</f>
        <v/>
      </c>
    </row>
    <row r="162" spans="1:2">
      <c r="A162" t="str" cm="1">
        <f t="array" ref="A162">IFERROR(INDEX(BAR!A:A,SMALL(IF((LEFT(BAR!A$2:A$1048576,3)="SRT")+(LEFT(BAR!A$2:A$1048576,3)="PAS"),ROW(BAR!A$2:A$1048576)),ROW()-1)),"")</f>
        <v/>
      </c>
      <c r="B162" t="str">
        <f>IF(COUNTBLANK(A162),"",IF(ISBLANK(VLOOKUP(A162,BAR!A:I,7,FALSE)),"",VLOOKUP(A162,BAR!A:I,7,FALSE)))</f>
        <v/>
      </c>
    </row>
    <row r="163" spans="1:2">
      <c r="A163" t="str" cm="1">
        <f t="array" ref="A163">IFERROR(INDEX(BAR!A:A,SMALL(IF((LEFT(BAR!A$2:A$1048576,3)="SRT")+(LEFT(BAR!A$2:A$1048576,3)="PAS"),ROW(BAR!A$2:A$1048576)),ROW()-1)),"")</f>
        <v/>
      </c>
      <c r="B163" t="str">
        <f>IF(COUNTBLANK(A163),"",IF(ISBLANK(VLOOKUP(A163,BAR!A:I,7,FALSE)),"",VLOOKUP(A163,BAR!A:I,7,FALSE)))</f>
        <v/>
      </c>
    </row>
    <row r="164" spans="1:2">
      <c r="A164" t="str" cm="1">
        <f t="array" ref="A164">IFERROR(INDEX(BAR!A:A,SMALL(IF((LEFT(BAR!A$2:A$1048576,3)="SRT")+(LEFT(BAR!A$2:A$1048576,3)="PAS"),ROW(BAR!A$2:A$1048576)),ROW()-1)),"")</f>
        <v/>
      </c>
      <c r="B164" t="str">
        <f>IF(COUNTBLANK(A164),"",IF(ISBLANK(VLOOKUP(A164,BAR!A:I,7,FALSE)),"",VLOOKUP(A164,BAR!A:I,7,FALSE)))</f>
        <v/>
      </c>
    </row>
    <row r="165" spans="1:2">
      <c r="A165" t="str" cm="1">
        <f t="array" ref="A165">IFERROR(INDEX(BAR!A:A,SMALL(IF((LEFT(BAR!A$2:A$1048576,3)="SRT")+(LEFT(BAR!A$2:A$1048576,3)="PAS"),ROW(BAR!A$2:A$1048576)),ROW()-1)),"")</f>
        <v/>
      </c>
      <c r="B165" t="str">
        <f>IF(COUNTBLANK(A165),"",IF(ISBLANK(VLOOKUP(A165,BAR!A:I,7,FALSE)),"",VLOOKUP(A165,BAR!A:I,7,FALSE)))</f>
        <v/>
      </c>
    </row>
    <row r="166" spans="1:2">
      <c r="A166" t="str" cm="1">
        <f t="array" ref="A166">IFERROR(INDEX(BAR!A:A,SMALL(IF((LEFT(BAR!A$2:A$1048576,3)="SRT")+(LEFT(BAR!A$2:A$1048576,3)="PAS"),ROW(BAR!A$2:A$1048576)),ROW()-1)),"")</f>
        <v/>
      </c>
      <c r="B166" t="str">
        <f>IF(COUNTBLANK(A166),"",IF(ISBLANK(VLOOKUP(A166,BAR!A:I,7,FALSE)),"",VLOOKUP(A166,BAR!A:I,7,FALSE)))</f>
        <v/>
      </c>
    </row>
    <row r="167" spans="1:2">
      <c r="A167" t="str" cm="1">
        <f t="array" ref="A167">IFERROR(INDEX(BAR!A:A,SMALL(IF((LEFT(BAR!A$2:A$1048576,3)="SRT")+(LEFT(BAR!A$2:A$1048576,3)="PAS"),ROW(BAR!A$2:A$1048576)),ROW()-1)),"")</f>
        <v/>
      </c>
      <c r="B167" t="str">
        <f>IF(COUNTBLANK(A167),"",IF(ISBLANK(VLOOKUP(A167,BAR!A:I,7,FALSE)),"",VLOOKUP(A167,BAR!A:I,7,FALSE)))</f>
        <v/>
      </c>
    </row>
    <row r="168" spans="1:2">
      <c r="A168" t="str" cm="1">
        <f t="array" ref="A168">IFERROR(INDEX(BAR!A:A,SMALL(IF((LEFT(BAR!A$2:A$1048576,3)="SRT")+(LEFT(BAR!A$2:A$1048576,3)="PAS"),ROW(BAR!A$2:A$1048576)),ROW()-1)),"")</f>
        <v/>
      </c>
      <c r="B168" t="str">
        <f>IF(COUNTBLANK(A168),"",IF(ISBLANK(VLOOKUP(A168,BAR!A:I,7,FALSE)),"",VLOOKUP(A168,BAR!A:I,7,FALSE)))</f>
        <v/>
      </c>
    </row>
    <row r="169" spans="1:2">
      <c r="A169" t="str" cm="1">
        <f t="array" ref="A169">IFERROR(INDEX(BAR!A:A,SMALL(IF((LEFT(BAR!A$2:A$1048576,3)="SRT")+(LEFT(BAR!A$2:A$1048576,3)="PAS"),ROW(BAR!A$2:A$1048576)),ROW()-1)),"")</f>
        <v/>
      </c>
      <c r="B169" t="str">
        <f>IF(COUNTBLANK(A169),"",IF(ISBLANK(VLOOKUP(A169,BAR!A:I,7,FALSE)),"",VLOOKUP(A169,BAR!A:I,7,FALSE)))</f>
        <v/>
      </c>
    </row>
    <row r="170" spans="1:2">
      <c r="A170" t="str" cm="1">
        <f t="array" ref="A170">IFERROR(INDEX(BAR!A:A,SMALL(IF((LEFT(BAR!A$2:A$1048576,3)="SRT")+(LEFT(BAR!A$2:A$1048576,3)="PAS"),ROW(BAR!A$2:A$1048576)),ROW()-1)),"")</f>
        <v/>
      </c>
      <c r="B170" t="str">
        <f>IF(COUNTBLANK(A170),"",IF(ISBLANK(VLOOKUP(A170,BAR!A:I,7,FALSE)),"",VLOOKUP(A170,BAR!A:I,7,FALSE)))</f>
        <v/>
      </c>
    </row>
    <row r="171" spans="1:2">
      <c r="A171" t="str" cm="1">
        <f t="array" ref="A171">IFERROR(INDEX(BAR!A:A,SMALL(IF((LEFT(BAR!A$2:A$1048576,3)="SRT")+(LEFT(BAR!A$2:A$1048576,3)="PAS"),ROW(BAR!A$2:A$1048576)),ROW()-1)),"")</f>
        <v/>
      </c>
      <c r="B171" t="str">
        <f>IF(COUNTBLANK(A171),"",IF(ISBLANK(VLOOKUP(A171,BAR!A:I,7,FALSE)),"",VLOOKUP(A171,BAR!A:I,7,FALSE)))</f>
        <v/>
      </c>
    </row>
    <row r="172" spans="1:2">
      <c r="A172" t="str" cm="1">
        <f t="array" ref="A172">IFERROR(INDEX(BAR!A:A,SMALL(IF((LEFT(BAR!A$2:A$1048576,3)="SRT")+(LEFT(BAR!A$2:A$1048576,3)="PAS"),ROW(BAR!A$2:A$1048576)),ROW()-1)),"")</f>
        <v/>
      </c>
      <c r="B172" t="str">
        <f>IF(COUNTBLANK(A172),"",IF(ISBLANK(VLOOKUP(A172,BAR!A:I,7,FALSE)),"",VLOOKUP(A172,BAR!A:I,7,FALSE)))</f>
        <v/>
      </c>
    </row>
    <row r="173" spans="1:2">
      <c r="A173" t="str" cm="1">
        <f t="array" ref="A173">IFERROR(INDEX(BAR!A:A,SMALL(IF((LEFT(BAR!A$2:A$1048576,3)="SRT")+(LEFT(BAR!A$2:A$1048576,3)="PAS"),ROW(BAR!A$2:A$1048576)),ROW()-1)),"")</f>
        <v/>
      </c>
      <c r="B173" t="str">
        <f>IF(COUNTBLANK(A173),"",IF(ISBLANK(VLOOKUP(A173,BAR!A:I,7,FALSE)),"",VLOOKUP(A173,BAR!A:I,7,FALSE)))</f>
        <v/>
      </c>
    </row>
    <row r="174" spans="1:2">
      <c r="A174" t="str" cm="1">
        <f t="array" ref="A174">IFERROR(INDEX(BAR!A:A,SMALL(IF((LEFT(BAR!A$2:A$1048576,3)="SRT")+(LEFT(BAR!A$2:A$1048576,3)="PAS"),ROW(BAR!A$2:A$1048576)),ROW()-1)),"")</f>
        <v/>
      </c>
      <c r="B174" t="str">
        <f>IF(COUNTBLANK(A174),"",IF(ISBLANK(VLOOKUP(A174,BAR!A:I,7,FALSE)),"",VLOOKUP(A174,BAR!A:I,7,FALSE)))</f>
        <v/>
      </c>
    </row>
    <row r="175" spans="1:2">
      <c r="A175" t="str" cm="1">
        <f t="array" ref="A175">IFERROR(INDEX(BAR!A:A,SMALL(IF((LEFT(BAR!A$2:A$1048576,3)="SRT")+(LEFT(BAR!A$2:A$1048576,3)="PAS"),ROW(BAR!A$2:A$1048576)),ROW()-1)),"")</f>
        <v/>
      </c>
      <c r="B175" t="str">
        <f>IF(COUNTBLANK(A175),"",IF(ISBLANK(VLOOKUP(A175,BAR!A:I,7,FALSE)),"",VLOOKUP(A175,BAR!A:I,7,FALSE)))</f>
        <v/>
      </c>
    </row>
    <row r="176" spans="1:2">
      <c r="A176" t="str" cm="1">
        <f t="array" ref="A176">IFERROR(INDEX(BAR!A:A,SMALL(IF((LEFT(BAR!A$2:A$1048576,3)="SRT")+(LEFT(BAR!A$2:A$1048576,3)="PAS"),ROW(BAR!A$2:A$1048576)),ROW()-1)),"")</f>
        <v/>
      </c>
      <c r="B176" t="str">
        <f>IF(COUNTBLANK(A176),"",IF(ISBLANK(VLOOKUP(A176,BAR!A:I,7,FALSE)),"",VLOOKUP(A176,BAR!A:I,7,FALSE)))</f>
        <v/>
      </c>
    </row>
    <row r="177" spans="1:2">
      <c r="A177" t="str" cm="1">
        <f t="array" ref="A177">IFERROR(INDEX(BAR!A:A,SMALL(IF((LEFT(BAR!A$2:A$1048576,3)="SRT")+(LEFT(BAR!A$2:A$1048576,3)="PAS"),ROW(BAR!A$2:A$1048576)),ROW()-1)),"")</f>
        <v/>
      </c>
      <c r="B177" t="str">
        <f>IF(COUNTBLANK(A177),"",IF(ISBLANK(VLOOKUP(A177,BAR!A:I,7,FALSE)),"",VLOOKUP(A177,BAR!A:I,7,FALSE)))</f>
        <v/>
      </c>
    </row>
    <row r="178" spans="1:2">
      <c r="A178" t="str" cm="1">
        <f t="array" ref="A178">IFERROR(INDEX(BAR!A:A,SMALL(IF((LEFT(BAR!A$2:A$1048576,3)="SRT")+(LEFT(BAR!A$2:A$1048576,3)="PAS"),ROW(BAR!A$2:A$1048576)),ROW()-1)),"")</f>
        <v/>
      </c>
      <c r="B178" t="str">
        <f>IF(COUNTBLANK(A178),"",IF(ISBLANK(VLOOKUP(A178,BAR!A:I,7,FALSE)),"",VLOOKUP(A178,BAR!A:I,7,FALSE)))</f>
        <v/>
      </c>
    </row>
    <row r="179" spans="1:2">
      <c r="A179" t="str" cm="1">
        <f t="array" ref="A179">IFERROR(INDEX(BAR!A:A,SMALL(IF((LEFT(BAR!A$2:A$1048576,3)="SRT")+(LEFT(BAR!A$2:A$1048576,3)="PAS"),ROW(BAR!A$2:A$1048576)),ROW()-1)),"")</f>
        <v/>
      </c>
      <c r="B179" t="str">
        <f>IF(COUNTBLANK(A179),"",IF(ISBLANK(VLOOKUP(A179,BAR!A:I,7,FALSE)),"",VLOOKUP(A179,BAR!A:I,7,FALSE)))</f>
        <v/>
      </c>
    </row>
    <row r="180" spans="1:2">
      <c r="A180" t="str" cm="1">
        <f t="array" ref="A180">IFERROR(INDEX(BAR!A:A,SMALL(IF((LEFT(BAR!A$2:A$1048576,3)="SRT")+(LEFT(BAR!A$2:A$1048576,3)="PAS"),ROW(BAR!A$2:A$1048576)),ROW()-1)),"")</f>
        <v/>
      </c>
      <c r="B180" t="str">
        <f>IF(COUNTBLANK(A180),"",IF(ISBLANK(VLOOKUP(A180,BAR!A:I,7,FALSE)),"",VLOOKUP(A180,BAR!A:I,7,FALSE)))</f>
        <v/>
      </c>
    </row>
    <row r="181" spans="1:2">
      <c r="A181" t="str" cm="1">
        <f t="array" ref="A181">IFERROR(INDEX(BAR!A:A,SMALL(IF((LEFT(BAR!A$2:A$1048576,3)="SRT")+(LEFT(BAR!A$2:A$1048576,3)="PAS"),ROW(BAR!A$2:A$1048576)),ROW()-1)),"")</f>
        <v/>
      </c>
      <c r="B181" t="str">
        <f>IF(COUNTBLANK(A181),"",IF(ISBLANK(VLOOKUP(A181,BAR!A:I,7,FALSE)),"",VLOOKUP(A181,BAR!A:I,7,FALSE)))</f>
        <v/>
      </c>
    </row>
    <row r="182" spans="1:2">
      <c r="A182" t="str" cm="1">
        <f t="array" ref="A182">IFERROR(INDEX(BAR!A:A,SMALL(IF((LEFT(BAR!A$2:A$1048576,3)="SRT")+(LEFT(BAR!A$2:A$1048576,3)="PAS"),ROW(BAR!A$2:A$1048576)),ROW()-1)),"")</f>
        <v/>
      </c>
      <c r="B182" t="str">
        <f>IF(COUNTBLANK(A182),"",IF(ISBLANK(VLOOKUP(A182,BAR!A:I,7,FALSE)),"",VLOOKUP(A182,BAR!A:I,7,FALSE)))</f>
        <v/>
      </c>
    </row>
    <row r="183" spans="1:2">
      <c r="A183" t="str" cm="1">
        <f t="array" ref="A183">IFERROR(INDEX(BAR!A:A,SMALL(IF((LEFT(BAR!A$2:A$1048576,3)="SRT")+(LEFT(BAR!A$2:A$1048576,3)="PAS"),ROW(BAR!A$2:A$1048576)),ROW()-1)),"")</f>
        <v/>
      </c>
      <c r="B183" t="str">
        <f>IF(COUNTBLANK(A183),"",IF(ISBLANK(VLOOKUP(A183,BAR!A:I,7,FALSE)),"",VLOOKUP(A183,BAR!A:I,7,FALSE)))</f>
        <v/>
      </c>
    </row>
    <row r="184" spans="1:2">
      <c r="A184" t="str" cm="1">
        <f t="array" ref="A184">IFERROR(INDEX(BAR!A:A,SMALL(IF((LEFT(BAR!A$2:A$1048576,3)="SRT")+(LEFT(BAR!A$2:A$1048576,3)="PAS"),ROW(BAR!A$2:A$1048576)),ROW()-1)),"")</f>
        <v/>
      </c>
      <c r="B184" t="str">
        <f>IF(COUNTBLANK(A184),"",IF(ISBLANK(VLOOKUP(A184,BAR!A:I,7,FALSE)),"",VLOOKUP(A184,BAR!A:I,7,FALSE)))</f>
        <v/>
      </c>
    </row>
    <row r="185" spans="1:2">
      <c r="A185" t="str" cm="1">
        <f t="array" ref="A185">IFERROR(INDEX(BAR!A:A,SMALL(IF((LEFT(BAR!A$2:A$1048576,3)="SRT")+(LEFT(BAR!A$2:A$1048576,3)="PAS"),ROW(BAR!A$2:A$1048576)),ROW()-1)),"")</f>
        <v/>
      </c>
      <c r="B185" t="str">
        <f>IF(COUNTBLANK(A185),"",IF(ISBLANK(VLOOKUP(A185,BAR!A:I,7,FALSE)),"",VLOOKUP(A185,BAR!A:I,7,FALSE)))</f>
        <v/>
      </c>
    </row>
    <row r="186" spans="1:2">
      <c r="A186" t="str" cm="1">
        <f t="array" ref="A186">IFERROR(INDEX(BAR!A:A,SMALL(IF((LEFT(BAR!A$2:A$1048576,3)="SRT")+(LEFT(BAR!A$2:A$1048576,3)="PAS"),ROW(BAR!A$2:A$1048576)),ROW()-1)),"")</f>
        <v/>
      </c>
      <c r="B186" t="str">
        <f>IF(COUNTBLANK(A186),"",IF(ISBLANK(VLOOKUP(A186,BAR!A:I,7,FALSE)),"",VLOOKUP(A186,BAR!A:I,7,FALSE)))</f>
        <v/>
      </c>
    </row>
    <row r="187" spans="1:2">
      <c r="A187" t="str" cm="1">
        <f t="array" ref="A187">IFERROR(INDEX(BAR!A:A,SMALL(IF((LEFT(BAR!A$2:A$1048576,3)="SRT")+(LEFT(BAR!A$2:A$1048576,3)="PAS"),ROW(BAR!A$2:A$1048576)),ROW()-1)),"")</f>
        <v/>
      </c>
      <c r="B187" t="str">
        <f>IF(COUNTBLANK(A187),"",IF(ISBLANK(VLOOKUP(A187,BAR!A:I,7,FALSE)),"",VLOOKUP(A187,BAR!A:I,7,FALSE)))</f>
        <v/>
      </c>
    </row>
    <row r="188" spans="1:2">
      <c r="A188" t="str" cm="1">
        <f t="array" ref="A188">IFERROR(INDEX(BAR!A:A,SMALL(IF((LEFT(BAR!A$2:A$1048576,3)="SRT")+(LEFT(BAR!A$2:A$1048576,3)="PAS"),ROW(BAR!A$2:A$1048576)),ROW()-1)),"")</f>
        <v/>
      </c>
      <c r="B188" t="str">
        <f>IF(COUNTBLANK(A188),"",IF(ISBLANK(VLOOKUP(A188,BAR!A:I,7,FALSE)),"",VLOOKUP(A188,BAR!A:I,7,FALSE)))</f>
        <v/>
      </c>
    </row>
    <row r="189" spans="1:2">
      <c r="A189" t="str" cm="1">
        <f t="array" ref="A189">IFERROR(INDEX(BAR!A:A,SMALL(IF((LEFT(BAR!A$2:A$1048576,3)="SRT")+(LEFT(BAR!A$2:A$1048576,3)="PAS"),ROW(BAR!A$2:A$1048576)),ROW()-1)),"")</f>
        <v/>
      </c>
      <c r="B189" t="str">
        <f>IF(COUNTBLANK(A189),"",IF(ISBLANK(VLOOKUP(A189,BAR!A:I,7,FALSE)),"",VLOOKUP(A189,BAR!A:I,7,FALSE)))</f>
        <v/>
      </c>
    </row>
    <row r="190" spans="1:2">
      <c r="A190" t="str" cm="1">
        <f t="array" ref="A190">IFERROR(INDEX(BAR!A:A,SMALL(IF((LEFT(BAR!A$2:A$1048576,3)="SRT")+(LEFT(BAR!A$2:A$1048576,3)="PAS"),ROW(BAR!A$2:A$1048576)),ROW()-1)),"")</f>
        <v/>
      </c>
      <c r="B190" t="str">
        <f>IF(COUNTBLANK(A190),"",IF(ISBLANK(VLOOKUP(A190,BAR!A:I,7,FALSE)),"",VLOOKUP(A190,BAR!A:I,7,FALSE)))</f>
        <v/>
      </c>
    </row>
    <row r="191" spans="1:2">
      <c r="A191" t="str" cm="1">
        <f t="array" ref="A191">IFERROR(INDEX(BAR!A:A,SMALL(IF((LEFT(BAR!A$2:A$1048576,3)="SRT")+(LEFT(BAR!A$2:A$1048576,3)="PAS"),ROW(BAR!A$2:A$1048576)),ROW()-1)),"")</f>
        <v/>
      </c>
      <c r="B191" t="str">
        <f>IF(COUNTBLANK(A191),"",IF(ISBLANK(VLOOKUP(A191,BAR!A:I,7,FALSE)),"",VLOOKUP(A191,BAR!A:I,7,FALSE)))</f>
        <v/>
      </c>
    </row>
    <row r="192" spans="1:2">
      <c r="A192" t="str" cm="1">
        <f t="array" ref="A192">IFERROR(INDEX(BAR!A:A,SMALL(IF((LEFT(BAR!A$2:A$1048576,3)="SRT")+(LEFT(BAR!A$2:A$1048576,3)="PAS"),ROW(BAR!A$2:A$1048576)),ROW()-1)),"")</f>
        <v/>
      </c>
      <c r="B192" t="str">
        <f>IF(COUNTBLANK(A192),"",IF(ISBLANK(VLOOKUP(A192,BAR!A:I,7,FALSE)),"",VLOOKUP(A192,BAR!A:I,7,FALSE)))</f>
        <v/>
      </c>
    </row>
    <row r="193" spans="1:2">
      <c r="A193" t="str" cm="1">
        <f t="array" ref="A193">IFERROR(INDEX(BAR!A:A,SMALL(IF((LEFT(BAR!A$2:A$1048576,3)="SRT")+(LEFT(BAR!A$2:A$1048576,3)="PAS"),ROW(BAR!A$2:A$1048576)),ROW()-1)),"")</f>
        <v/>
      </c>
      <c r="B193" t="str">
        <f>IF(COUNTBLANK(A193),"",IF(ISBLANK(VLOOKUP(A193,BAR!A:I,7,FALSE)),"",VLOOKUP(A193,BAR!A:I,7,FALSE)))</f>
        <v/>
      </c>
    </row>
    <row r="194" spans="1:2">
      <c r="A194" t="str" cm="1">
        <f t="array" ref="A194">IFERROR(INDEX(BAR!A:A,SMALL(IF((LEFT(BAR!A$2:A$1048576,3)="SRT")+(LEFT(BAR!A$2:A$1048576,3)="PAS"),ROW(BAR!A$2:A$1048576)),ROW()-1)),"")</f>
        <v/>
      </c>
      <c r="B194" t="str">
        <f>IF(COUNTBLANK(A194),"",IF(ISBLANK(VLOOKUP(A194,BAR!A:I,7,FALSE)),"",VLOOKUP(A194,BAR!A:I,7,FALSE)))</f>
        <v/>
      </c>
    </row>
    <row r="195" spans="1:2">
      <c r="A195" t="str" cm="1">
        <f t="array" ref="A195">IFERROR(INDEX(BAR!A:A,SMALL(IF((LEFT(BAR!A$2:A$1048576,3)="SRT")+(LEFT(BAR!A$2:A$1048576,3)="PAS"),ROW(BAR!A$2:A$1048576)),ROW()-1)),"")</f>
        <v/>
      </c>
      <c r="B195" t="str">
        <f>IF(COUNTBLANK(A195),"",IF(ISBLANK(VLOOKUP(A195,BAR!A:I,7,FALSE)),"",VLOOKUP(A195,BAR!A:I,7,FALSE)))</f>
        <v/>
      </c>
    </row>
    <row r="196" spans="1:2">
      <c r="A196" t="str" cm="1">
        <f t="array" ref="A196">IFERROR(INDEX(BAR!A:A,SMALL(IF((LEFT(BAR!A$2:A$1048576,3)="SRT")+(LEFT(BAR!A$2:A$1048576,3)="PAS"),ROW(BAR!A$2:A$1048576)),ROW()-1)),"")</f>
        <v/>
      </c>
      <c r="B196" t="str">
        <f>IF(COUNTBLANK(A196),"",IF(ISBLANK(VLOOKUP(A196,BAR!A:I,7,FALSE)),"",VLOOKUP(A196,BAR!A:I,7,FALSE)))</f>
        <v/>
      </c>
    </row>
    <row r="197" spans="1:2">
      <c r="A197" t="str" cm="1">
        <f t="array" ref="A197">IFERROR(INDEX(BAR!A:A,SMALL(IF((LEFT(BAR!A$2:A$1048576,3)="SRT")+(LEFT(BAR!A$2:A$1048576,3)="PAS"),ROW(BAR!A$2:A$1048576)),ROW()-1)),"")</f>
        <v/>
      </c>
      <c r="B197" t="str">
        <f>IF(COUNTBLANK(A197),"",IF(ISBLANK(VLOOKUP(A197,BAR!A:I,7,FALSE)),"",VLOOKUP(A197,BAR!A:I,7,FALSE)))</f>
        <v/>
      </c>
    </row>
    <row r="198" spans="1:2">
      <c r="A198" t="str" cm="1">
        <f t="array" ref="A198">IFERROR(INDEX(BAR!A:A,SMALL(IF((LEFT(BAR!A$2:A$1048576,3)="SRT")+(LEFT(BAR!A$2:A$1048576,3)="PAS"),ROW(BAR!A$2:A$1048576)),ROW()-1)),"")</f>
        <v/>
      </c>
      <c r="B198" t="str">
        <f>IF(COUNTBLANK(A198),"",IF(ISBLANK(VLOOKUP(A198,BAR!A:I,7,FALSE)),"",VLOOKUP(A198,BAR!A:I,7,FALSE)))</f>
        <v/>
      </c>
    </row>
    <row r="199" spans="1:2">
      <c r="A199" t="str" cm="1">
        <f t="array" ref="A199">IFERROR(INDEX(BAR!A:A,SMALL(IF((LEFT(BAR!A$2:A$1048576,3)="SRT")+(LEFT(BAR!A$2:A$1048576,3)="PAS"),ROW(BAR!A$2:A$1048576)),ROW()-1)),"")</f>
        <v/>
      </c>
      <c r="B199" t="str">
        <f>IF(COUNTBLANK(A199),"",IF(ISBLANK(VLOOKUP(A199,BAR!A:I,7,FALSE)),"",VLOOKUP(A199,BAR!A:I,7,FALSE)))</f>
        <v/>
      </c>
    </row>
    <row r="200" spans="1:2">
      <c r="A200" t="str" cm="1">
        <f t="array" ref="A200">IFERROR(INDEX(BAR!A:A,SMALL(IF((LEFT(BAR!A$2:A$1048576,3)="SRT")+(LEFT(BAR!A$2:A$1048576,3)="PAS"),ROW(BAR!A$2:A$1048576)),ROW()-1)),"")</f>
        <v/>
      </c>
      <c r="B200" t="str">
        <f>IF(COUNTBLANK(A200),"",IF(ISBLANK(VLOOKUP(A200,BAR!A:I,7,FALSE)),"",VLOOKUP(A200,BAR!A:I,7,FALSE)))</f>
        <v/>
      </c>
    </row>
    <row r="201" spans="1:2">
      <c r="A201" t="str" cm="1">
        <f t="array" ref="A201">IFERROR(INDEX(BAR!A:A,SMALL(IF((LEFT(BAR!A$2:A$1048576,3)="SRT")+(LEFT(BAR!A$2:A$1048576,3)="PAS"),ROW(BAR!A$2:A$1048576)),ROW()-1)),"")</f>
        <v/>
      </c>
      <c r="B201" t="str">
        <f>IF(COUNTBLANK(A201),"",IF(ISBLANK(VLOOKUP(A201,BAR!A:I,7,FALSE)),"",VLOOKUP(A201,BAR!A:I,7,FALSE)))</f>
        <v/>
      </c>
    </row>
    <row r="202" spans="1:2">
      <c r="A202" t="str" cm="1">
        <f t="array" ref="A202">IFERROR(INDEX(BAR!A:A,SMALL(IF((LEFT(BAR!A$2:A$1048576,3)="SRT")+(LEFT(BAR!A$2:A$1048576,3)="PAS"),ROW(BAR!A$2:A$1048576)),ROW()-1)),"")</f>
        <v/>
      </c>
      <c r="B202" t="str">
        <f>IF(COUNTBLANK(A202),"",IF(ISBLANK(VLOOKUP(A202,BAR!A:I,7,FALSE)),"",VLOOKUP(A202,BAR!A:I,7,FALSE)))</f>
        <v/>
      </c>
    </row>
    <row r="203" spans="1:2">
      <c r="A203" t="str" cm="1">
        <f t="array" ref="A203">IFERROR(INDEX(BAR!A:A,SMALL(IF((LEFT(BAR!A$2:A$1048576,3)="SRT")+(LEFT(BAR!A$2:A$1048576,3)="PAS"),ROW(BAR!A$2:A$1048576)),ROW()-1)),"")</f>
        <v/>
      </c>
      <c r="B203" t="str">
        <f>IF(COUNTBLANK(A203),"",IF(ISBLANK(VLOOKUP(A203,BAR!A:I,7,FALSE)),"",VLOOKUP(A203,BAR!A:I,7,FALSE)))</f>
        <v/>
      </c>
    </row>
    <row r="204" spans="1:2">
      <c r="A204" t="str" cm="1">
        <f t="array" ref="A204">IFERROR(INDEX(BAR!A:A,SMALL(IF((LEFT(BAR!A$2:A$1048576,3)="SRT")+(LEFT(BAR!A$2:A$1048576,3)="PAS"),ROW(BAR!A$2:A$1048576)),ROW()-1)),"")</f>
        <v/>
      </c>
      <c r="B204" t="str">
        <f>IF(COUNTBLANK(A204),"",IF(ISBLANK(VLOOKUP(A204,BAR!A:I,7,FALSE)),"",VLOOKUP(A204,BAR!A:I,7,FALSE)))</f>
        <v/>
      </c>
    </row>
    <row r="205" spans="1:2">
      <c r="A205" t="str" cm="1">
        <f t="array" ref="A205">IFERROR(INDEX(BAR!A:A,SMALL(IF((LEFT(BAR!A$2:A$1048576,3)="SRT")+(LEFT(BAR!A$2:A$1048576,3)="PAS"),ROW(BAR!A$2:A$1048576)),ROW()-1)),"")</f>
        <v/>
      </c>
      <c r="B205" t="str">
        <f>IF(COUNTBLANK(A205),"",IF(ISBLANK(VLOOKUP(A205,BAR!A:I,7,FALSE)),"",VLOOKUP(A205,BAR!A:I,7,FALSE)))</f>
        <v/>
      </c>
    </row>
    <row r="206" spans="1:2">
      <c r="A206" t="str" cm="1">
        <f t="array" ref="A206">IFERROR(INDEX(BAR!A:A,SMALL(IF((LEFT(BAR!A$2:A$1048576,3)="SRT")+(LEFT(BAR!A$2:A$1048576,3)="PAS"),ROW(BAR!A$2:A$1048576)),ROW()-1)),"")</f>
        <v/>
      </c>
      <c r="B206" t="str">
        <f>IF(COUNTBLANK(A206),"",IF(ISBLANK(VLOOKUP(A206,BAR!A:I,7,FALSE)),"",VLOOKUP(A206,BAR!A:I,7,FALSE)))</f>
        <v/>
      </c>
    </row>
    <row r="207" spans="1:2">
      <c r="A207" t="str" cm="1">
        <f t="array" ref="A207">IFERROR(INDEX(BAR!A:A,SMALL(IF((LEFT(BAR!A$2:A$1048576,3)="SRT")+(LEFT(BAR!A$2:A$1048576,3)="PAS"),ROW(BAR!A$2:A$1048576)),ROW()-1)),"")</f>
        <v/>
      </c>
      <c r="B207" t="str">
        <f>IF(COUNTBLANK(A207),"",IF(ISBLANK(VLOOKUP(A207,BAR!A:I,7,FALSE)),"",VLOOKUP(A207,BAR!A:I,7,FALSE)))</f>
        <v/>
      </c>
    </row>
    <row r="208" spans="1:2">
      <c r="A208" t="str" cm="1">
        <f t="array" ref="A208">IFERROR(INDEX(BAR!A:A,SMALL(IF((LEFT(BAR!A$2:A$1048576,3)="SRT")+(LEFT(BAR!A$2:A$1048576,3)="PAS"),ROW(BAR!A$2:A$1048576)),ROW()-1)),"")</f>
        <v/>
      </c>
      <c r="B208" t="str">
        <f>IF(COUNTBLANK(A208),"",IF(ISBLANK(VLOOKUP(A208,BAR!A:I,7,FALSE)),"",VLOOKUP(A208,BAR!A:I,7,FALSE)))</f>
        <v/>
      </c>
    </row>
    <row r="209" spans="1:2">
      <c r="A209" t="str" cm="1">
        <f t="array" ref="A209">IFERROR(INDEX(BAR!A:A,SMALL(IF((LEFT(BAR!A$2:A$1048576,3)="SRT")+(LEFT(BAR!A$2:A$1048576,3)="PAS"),ROW(BAR!A$2:A$1048576)),ROW()-1)),"")</f>
        <v/>
      </c>
      <c r="B209" t="str">
        <f>IF(COUNTBLANK(A209),"",IF(ISBLANK(VLOOKUP(A209,BAR!A:I,7,FALSE)),"",VLOOKUP(A209,BAR!A:I,7,FALSE)))</f>
        <v/>
      </c>
    </row>
    <row r="210" spans="1:2">
      <c r="A210" t="str" cm="1">
        <f t="array" ref="A210">IFERROR(INDEX(BAR!A:A,SMALL(IF((LEFT(BAR!A$2:A$1048576,3)="SRT")+(LEFT(BAR!A$2:A$1048576,3)="PAS"),ROW(BAR!A$2:A$1048576)),ROW()-1)),"")</f>
        <v/>
      </c>
      <c r="B210" t="str">
        <f>IF(COUNTBLANK(A210),"",IF(ISBLANK(VLOOKUP(A210,BAR!A:I,7,FALSE)),"",VLOOKUP(A210,BAR!A:I,7,FALSE)))</f>
        <v/>
      </c>
    </row>
    <row r="211" spans="1:2">
      <c r="A211" t="str" cm="1">
        <f t="array" ref="A211">IFERROR(INDEX(BAR!A:A,SMALL(IF((LEFT(BAR!A$2:A$1048576,3)="SRT")+(LEFT(BAR!A$2:A$1048576,3)="PAS"),ROW(BAR!A$2:A$1048576)),ROW()-1)),"")</f>
        <v/>
      </c>
      <c r="B211" t="str">
        <f>IF(COUNTBLANK(A211),"",IF(ISBLANK(VLOOKUP(A211,BAR!A:I,7,FALSE)),"",VLOOKUP(A211,BAR!A:I,7,FALSE)))</f>
        <v/>
      </c>
    </row>
    <row r="212" spans="1:2">
      <c r="A212" t="str" cm="1">
        <f t="array" ref="A212">IFERROR(INDEX(BAR!A:A,SMALL(IF((LEFT(BAR!A$2:A$1048576,3)="SRT")+(LEFT(BAR!A$2:A$1048576,3)="PAS"),ROW(BAR!A$2:A$1048576)),ROW()-1)),"")</f>
        <v/>
      </c>
      <c r="B212" t="str">
        <f>IF(COUNTBLANK(A212),"",IF(ISBLANK(VLOOKUP(A212,BAR!A:I,7,FALSE)),"",VLOOKUP(A212,BAR!A:I,7,FALSE)))</f>
        <v/>
      </c>
    </row>
    <row r="213" spans="1:2">
      <c r="A213" t="str" cm="1">
        <f t="array" ref="A213">IFERROR(INDEX(BAR!A:A,SMALL(IF((LEFT(BAR!A$2:A$1048576,3)="SRT")+(LEFT(BAR!A$2:A$1048576,3)="PAS"),ROW(BAR!A$2:A$1048576)),ROW()-1)),"")</f>
        <v/>
      </c>
      <c r="B213" t="str">
        <f>IF(COUNTBLANK(A213),"",IF(ISBLANK(VLOOKUP(A213,BAR!A:I,7,FALSE)),"",VLOOKUP(A213,BAR!A:I,7,FALSE)))</f>
        <v/>
      </c>
    </row>
    <row r="214" spans="1:2">
      <c r="A214" t="str" cm="1">
        <f t="array" ref="A214">IFERROR(INDEX(BAR!A:A,SMALL(IF((LEFT(BAR!A$2:A$1048576,3)="SRT")+(LEFT(BAR!A$2:A$1048576,3)="PAS"),ROW(BAR!A$2:A$1048576)),ROW()-1)),"")</f>
        <v/>
      </c>
      <c r="B214" t="str">
        <f>IF(COUNTBLANK(A214),"",IF(ISBLANK(VLOOKUP(A214,BAR!A:I,7,FALSE)),"",VLOOKUP(A214,BAR!A:I,7,FALSE)))</f>
        <v/>
      </c>
    </row>
    <row r="215" spans="1:2">
      <c r="A215" t="str" cm="1">
        <f t="array" ref="A215">IFERROR(INDEX(BAR!A:A,SMALL(IF((LEFT(BAR!A$2:A$1048576,3)="SRT")+(LEFT(BAR!A$2:A$1048576,3)="PAS"),ROW(BAR!A$2:A$1048576)),ROW()-1)),"")</f>
        <v/>
      </c>
      <c r="B215" t="str">
        <f>IF(COUNTBLANK(A215),"",IF(ISBLANK(VLOOKUP(A215,BAR!A:I,7,FALSE)),"",VLOOKUP(A215,BAR!A:I,7,FALSE)))</f>
        <v/>
      </c>
    </row>
    <row r="216" spans="1:2">
      <c r="A216" t="str" cm="1">
        <f t="array" ref="A216">IFERROR(INDEX(BAR!A:A,SMALL(IF((LEFT(BAR!A$2:A$1048576,3)="SRT")+(LEFT(BAR!A$2:A$1048576,3)="PAS"),ROW(BAR!A$2:A$1048576)),ROW()-1)),"")</f>
        <v/>
      </c>
      <c r="B216" t="str">
        <f>IF(COUNTBLANK(A216),"",IF(ISBLANK(VLOOKUP(A216,BAR!A:I,7,FALSE)),"",VLOOKUP(A216,BAR!A:I,7,FALSE)))</f>
        <v/>
      </c>
    </row>
    <row r="217" spans="1:2">
      <c r="A217" t="str" cm="1">
        <f t="array" ref="A217">IFERROR(INDEX(BAR!A:A,SMALL(IF((LEFT(BAR!A$2:A$1048576,3)="SRT")+(LEFT(BAR!A$2:A$1048576,3)="PAS"),ROW(BAR!A$2:A$1048576)),ROW()-1)),"")</f>
        <v/>
      </c>
      <c r="B217" t="str">
        <f>IF(COUNTBLANK(A217),"",IF(ISBLANK(VLOOKUP(A217,BAR!A:I,7,FALSE)),"",VLOOKUP(A217,BAR!A:I,7,FALSE)))</f>
        <v/>
      </c>
    </row>
    <row r="218" spans="1:2">
      <c r="A218" t="str" cm="1">
        <f t="array" ref="A218">IFERROR(INDEX(BAR!A:A,SMALL(IF((LEFT(BAR!A$2:A$1048576,3)="SRT")+(LEFT(BAR!A$2:A$1048576,3)="PAS"),ROW(BAR!A$2:A$1048576)),ROW()-1)),"")</f>
        <v/>
      </c>
      <c r="B218" t="str">
        <f>IF(COUNTBLANK(A218),"",IF(ISBLANK(VLOOKUP(A218,BAR!A:I,7,FALSE)),"",VLOOKUP(A218,BAR!A:I,7,FALSE)))</f>
        <v/>
      </c>
    </row>
    <row r="219" spans="1:2">
      <c r="A219" t="str" cm="1">
        <f t="array" ref="A219">IFERROR(INDEX(BAR!A:A,SMALL(IF((LEFT(BAR!A$2:A$1048576,3)="SRT")+(LEFT(BAR!A$2:A$1048576,3)="PAS"),ROW(BAR!A$2:A$1048576)),ROW()-1)),"")</f>
        <v/>
      </c>
      <c r="B219" t="str">
        <f>IF(COUNTBLANK(A219),"",IF(ISBLANK(VLOOKUP(A219,BAR!A:I,7,FALSE)),"",VLOOKUP(A219,BAR!A:I,7,FALSE)))</f>
        <v/>
      </c>
    </row>
    <row r="220" spans="1:2">
      <c r="A220" t="str" cm="1">
        <f t="array" ref="A220">IFERROR(INDEX(BAR!A:A,SMALL(IF((LEFT(BAR!A$2:A$1048576,3)="SRT")+(LEFT(BAR!A$2:A$1048576,3)="PAS"),ROW(BAR!A$2:A$1048576)),ROW()-1)),"")</f>
        <v/>
      </c>
      <c r="B220" t="str">
        <f>IF(COUNTBLANK(A220),"",IF(ISBLANK(VLOOKUP(A220,BAR!A:I,7,FALSE)),"",VLOOKUP(A220,BAR!A:I,7,FALSE)))</f>
        <v/>
      </c>
    </row>
    <row r="221" spans="1:2">
      <c r="A221" t="str" cm="1">
        <f t="array" ref="A221">IFERROR(INDEX(BAR!A:A,SMALL(IF((LEFT(BAR!A$2:A$1048576,3)="SRT")+(LEFT(BAR!A$2:A$1048576,3)="PAS"),ROW(BAR!A$2:A$1048576)),ROW()-1)),"")</f>
        <v/>
      </c>
      <c r="B221" t="str">
        <f>IF(COUNTBLANK(A221),"",IF(ISBLANK(VLOOKUP(A221,BAR!A:I,7,FALSE)),"",VLOOKUP(A221,BAR!A:I,7,FALSE)))</f>
        <v/>
      </c>
    </row>
    <row r="222" spans="1:2">
      <c r="A222" t="str" cm="1">
        <f t="array" ref="A222">IFERROR(INDEX(BAR!A:A,SMALL(IF((LEFT(BAR!A$2:A$1048576,3)="SRT")+(LEFT(BAR!A$2:A$1048576,3)="PAS"),ROW(BAR!A$2:A$1048576)),ROW()-1)),"")</f>
        <v/>
      </c>
      <c r="B222" t="str">
        <f>IF(COUNTBLANK(A222),"",IF(ISBLANK(VLOOKUP(A222,BAR!A:I,7,FALSE)),"",VLOOKUP(A222,BAR!A:I,7,FALSE)))</f>
        <v/>
      </c>
    </row>
    <row r="223" spans="1:2">
      <c r="A223" t="str" cm="1">
        <f t="array" ref="A223">IFERROR(INDEX(BAR!A:A,SMALL(IF((LEFT(BAR!A$2:A$1048576,3)="SRT")+(LEFT(BAR!A$2:A$1048576,3)="PAS"),ROW(BAR!A$2:A$1048576)),ROW()-1)),"")</f>
        <v/>
      </c>
      <c r="B223" t="str">
        <f>IF(COUNTBLANK(A223),"",IF(ISBLANK(VLOOKUP(A223,BAR!A:I,7,FALSE)),"",VLOOKUP(A223,BAR!A:I,7,FALSE)))</f>
        <v/>
      </c>
    </row>
    <row r="224" spans="1:2">
      <c r="A224" t="str" cm="1">
        <f t="array" ref="A224">IFERROR(INDEX(BAR!A:A,SMALL(IF((LEFT(BAR!A$2:A$1048576,3)="SRT")+(LEFT(BAR!A$2:A$1048576,3)="PAS"),ROW(BAR!A$2:A$1048576)),ROW()-1)),"")</f>
        <v/>
      </c>
      <c r="B224" t="str">
        <f>IF(COUNTBLANK(A224),"",IF(ISBLANK(VLOOKUP(A224,BAR!A:I,7,FALSE)),"",VLOOKUP(A224,BAR!A:I,7,FALSE)))</f>
        <v/>
      </c>
    </row>
    <row r="225" spans="1:2">
      <c r="A225" t="str" cm="1">
        <f t="array" ref="A225">IFERROR(INDEX(BAR!A:A,SMALL(IF((LEFT(BAR!A$2:A$1048576,3)="SRT")+(LEFT(BAR!A$2:A$1048576,3)="PAS"),ROW(BAR!A$2:A$1048576)),ROW()-1)),"")</f>
        <v/>
      </c>
      <c r="B225" t="str">
        <f>IF(COUNTBLANK(A225),"",IF(ISBLANK(VLOOKUP(A225,BAR!A:I,7,FALSE)),"",VLOOKUP(A225,BAR!A:I,7,FALSE)))</f>
        <v/>
      </c>
    </row>
    <row r="226" spans="1:2">
      <c r="A226" t="str" cm="1">
        <f t="array" ref="A226">IFERROR(INDEX(BAR!A:A,SMALL(IF((LEFT(BAR!A$2:A$1048576,3)="SRT")+(LEFT(BAR!A$2:A$1048576,3)="PAS"),ROW(BAR!A$2:A$1048576)),ROW()-1)),"")</f>
        <v/>
      </c>
      <c r="B226" t="str">
        <f>IF(COUNTBLANK(A226),"",IF(ISBLANK(VLOOKUP(A226,BAR!A:I,7,FALSE)),"",VLOOKUP(A226,BAR!A:I,7,FALSE)))</f>
        <v/>
      </c>
    </row>
    <row r="227" spans="1:2">
      <c r="A227" t="str" cm="1">
        <f t="array" ref="A227">IFERROR(INDEX(BAR!A:A,SMALL(IF((LEFT(BAR!A$2:A$1048576,3)="SRT")+(LEFT(BAR!A$2:A$1048576,3)="PAS"),ROW(BAR!A$2:A$1048576)),ROW()-1)),"")</f>
        <v/>
      </c>
      <c r="B227" t="str">
        <f>IF(COUNTBLANK(A227),"",IF(ISBLANK(VLOOKUP(A227,BAR!A:I,7,FALSE)),"",VLOOKUP(A227,BAR!A:I,7,FALSE)))</f>
        <v/>
      </c>
    </row>
    <row r="228" spans="1:2">
      <c r="A228" t="str" cm="1">
        <f t="array" ref="A228">IFERROR(INDEX(BAR!A:A,SMALL(IF((LEFT(BAR!A$2:A$1048576,3)="SRT")+(LEFT(BAR!A$2:A$1048576,3)="PAS"),ROW(BAR!A$2:A$1048576)),ROW()-1)),"")</f>
        <v/>
      </c>
      <c r="B228" t="str">
        <f>IF(COUNTBLANK(A228),"",IF(ISBLANK(VLOOKUP(A228,BAR!A:I,7,FALSE)),"",VLOOKUP(A228,BAR!A:I,7,FALSE)))</f>
        <v/>
      </c>
    </row>
    <row r="229" spans="1:2">
      <c r="A229" t="str" cm="1">
        <f t="array" ref="A229">IFERROR(INDEX(BAR!A:A,SMALL(IF((LEFT(BAR!A$2:A$1048576,3)="SRT")+(LEFT(BAR!A$2:A$1048576,3)="PAS"),ROW(BAR!A$2:A$1048576)),ROW()-1)),"")</f>
        <v/>
      </c>
      <c r="B229" t="str">
        <f>IF(COUNTBLANK(A229),"",IF(ISBLANK(VLOOKUP(A229,BAR!A:I,7,FALSE)),"",VLOOKUP(A229,BAR!A:I,7,FALSE)))</f>
        <v/>
      </c>
    </row>
    <row r="230" spans="1:2">
      <c r="A230" t="str" cm="1">
        <f t="array" ref="A230">IFERROR(INDEX(BAR!A:A,SMALL(IF((LEFT(BAR!A$2:A$1048576,3)="SRT")+(LEFT(BAR!A$2:A$1048576,3)="PAS"),ROW(BAR!A$2:A$1048576)),ROW()-1)),"")</f>
        <v/>
      </c>
      <c r="B230" t="str">
        <f>IF(COUNTBLANK(A230),"",IF(ISBLANK(VLOOKUP(A230,BAR!A:I,7,FALSE)),"",VLOOKUP(A230,BAR!A:I,7,FALSE)))</f>
        <v/>
      </c>
    </row>
    <row r="231" spans="1:2">
      <c r="A231" t="str" cm="1">
        <f t="array" ref="A231">IFERROR(INDEX(BAR!A:A,SMALL(IF((LEFT(BAR!A$2:A$1048576,3)="SRT")+(LEFT(BAR!A$2:A$1048576,3)="PAS"),ROW(BAR!A$2:A$1048576)),ROW()-1)),"")</f>
        <v/>
      </c>
      <c r="B231" t="str">
        <f>IF(COUNTBLANK(A231),"",IF(ISBLANK(VLOOKUP(A231,BAR!A:I,7,FALSE)),"",VLOOKUP(A231,BAR!A:I,7,FALSE)))</f>
        <v/>
      </c>
    </row>
    <row r="232" spans="1:2">
      <c r="A232" t="str" cm="1">
        <f t="array" ref="A232">IFERROR(INDEX(BAR!A:A,SMALL(IF((LEFT(BAR!A$2:A$1048576,3)="SRT")+(LEFT(BAR!A$2:A$1048576,3)="PAS"),ROW(BAR!A$2:A$1048576)),ROW()-1)),"")</f>
        <v/>
      </c>
      <c r="B232" t="str">
        <f>IF(COUNTBLANK(A232),"",IF(ISBLANK(VLOOKUP(A232,BAR!A:I,7,FALSE)),"",VLOOKUP(A232,BAR!A:I,7,FALSE)))</f>
        <v/>
      </c>
    </row>
    <row r="233" spans="1:2">
      <c r="A233" t="str" cm="1">
        <f t="array" ref="A233">IFERROR(INDEX(BAR!A:A,SMALL(IF((LEFT(BAR!A$2:A$1048576,3)="SRT")+(LEFT(BAR!A$2:A$1048576,3)="PAS"),ROW(BAR!A$2:A$1048576)),ROW()-1)),"")</f>
        <v/>
      </c>
      <c r="B233" t="str">
        <f>IF(COUNTBLANK(A233),"",IF(ISBLANK(VLOOKUP(A233,BAR!A:I,7,FALSE)),"",VLOOKUP(A233,BAR!A:I,7,FALSE)))</f>
        <v/>
      </c>
    </row>
    <row r="234" spans="1:2">
      <c r="A234" t="str" cm="1">
        <f t="array" ref="A234">IFERROR(INDEX(BAR!A:A,SMALL(IF((LEFT(BAR!A$2:A$1048576,3)="SRT")+(LEFT(BAR!A$2:A$1048576,3)="PAS"),ROW(BAR!A$2:A$1048576)),ROW()-1)),"")</f>
        <v/>
      </c>
      <c r="B234" t="str">
        <f>IF(COUNTBLANK(A234),"",IF(ISBLANK(VLOOKUP(A234,BAR!A:I,7,FALSE)),"",VLOOKUP(A234,BAR!A:I,7,FALSE)))</f>
        <v/>
      </c>
    </row>
    <row r="235" spans="1:2">
      <c r="A235" t="str" cm="1">
        <f t="array" ref="A235">IFERROR(INDEX(BAR!A:A,SMALL(IF((LEFT(BAR!A$2:A$1048576,3)="SRT")+(LEFT(BAR!A$2:A$1048576,3)="PAS"),ROW(BAR!A$2:A$1048576)),ROW()-1)),"")</f>
        <v/>
      </c>
      <c r="B235" t="str">
        <f>IF(COUNTBLANK(A235),"",IF(ISBLANK(VLOOKUP(A235,BAR!A:I,7,FALSE)),"",VLOOKUP(A235,BAR!A:I,7,FALSE)))</f>
        <v/>
      </c>
    </row>
    <row r="236" spans="1:2">
      <c r="A236" t="str" cm="1">
        <f t="array" ref="A236">IFERROR(INDEX(BAR!A:A,SMALL(IF((LEFT(BAR!A$2:A$1048576,3)="SRT")+(LEFT(BAR!A$2:A$1048576,3)="PAS"),ROW(BAR!A$2:A$1048576)),ROW()-1)),"")</f>
        <v/>
      </c>
      <c r="B236" t="str">
        <f>IF(COUNTBLANK(A236),"",IF(ISBLANK(VLOOKUP(A236,BAR!A:I,7,FALSE)),"",VLOOKUP(A236,BAR!A:I,7,FALSE)))</f>
        <v/>
      </c>
    </row>
    <row r="237" spans="1:2">
      <c r="A237" t="str" cm="1">
        <f t="array" ref="A237">IFERROR(INDEX(BAR!A:A,SMALL(IF((LEFT(BAR!A$2:A$1048576,3)="SRT")+(LEFT(BAR!A$2:A$1048576,3)="PAS"),ROW(BAR!A$2:A$1048576)),ROW()-1)),"")</f>
        <v/>
      </c>
      <c r="B237" t="str">
        <f>IF(COUNTBLANK(A237),"",IF(ISBLANK(VLOOKUP(A237,BAR!A:I,7,FALSE)),"",VLOOKUP(A237,BAR!A:I,7,FALSE)))</f>
        <v/>
      </c>
    </row>
    <row r="238" spans="1:2">
      <c r="A238" t="str" cm="1">
        <f t="array" ref="A238">IFERROR(INDEX(BAR!A:A,SMALL(IF((LEFT(BAR!A$2:A$1048576,3)="SRT")+(LEFT(BAR!A$2:A$1048576,3)="PAS"),ROW(BAR!A$2:A$1048576)),ROW()-1)),"")</f>
        <v/>
      </c>
      <c r="B238" t="str">
        <f>IF(COUNTBLANK(A238),"",IF(ISBLANK(VLOOKUP(A238,BAR!A:I,7,FALSE)),"",VLOOKUP(A238,BAR!A:I,7,FALSE)))</f>
        <v/>
      </c>
    </row>
    <row r="239" spans="1:2">
      <c r="A239" t="str" cm="1">
        <f t="array" ref="A239">IFERROR(INDEX(BAR!A:A,SMALL(IF((LEFT(BAR!A$2:A$1048576,3)="SRT")+(LEFT(BAR!A$2:A$1048576,3)="PAS"),ROW(BAR!A$2:A$1048576)),ROW()-1)),"")</f>
        <v/>
      </c>
      <c r="B239" t="str">
        <f>IF(COUNTBLANK(A239),"",IF(ISBLANK(VLOOKUP(A239,BAR!A:I,7,FALSE)),"",VLOOKUP(A239,BAR!A:I,7,FALSE)))</f>
        <v/>
      </c>
    </row>
    <row r="240" spans="1:2">
      <c r="A240" t="str" cm="1">
        <f t="array" ref="A240">IFERROR(INDEX(BAR!A:A,SMALL(IF((LEFT(BAR!A$2:A$1048576,3)="SRT")+(LEFT(BAR!A$2:A$1048576,3)="PAS"),ROW(BAR!A$2:A$1048576)),ROW()-1)),"")</f>
        <v/>
      </c>
      <c r="B240" t="str">
        <f>IF(COUNTBLANK(A240),"",IF(ISBLANK(VLOOKUP(A240,BAR!A:I,7,FALSE)),"",VLOOKUP(A240,BAR!A:I,7,FALSE)))</f>
        <v/>
      </c>
    </row>
    <row r="241" spans="1:2">
      <c r="A241" t="str" cm="1">
        <f t="array" ref="A241">IFERROR(INDEX(BAR!A:A,SMALL(IF((LEFT(BAR!A$2:A$1048576,3)="SRT")+(LEFT(BAR!A$2:A$1048576,3)="PAS"),ROW(BAR!A$2:A$1048576)),ROW()-1)),"")</f>
        <v/>
      </c>
      <c r="B241" t="str">
        <f>IF(COUNTBLANK(A241),"",IF(ISBLANK(VLOOKUP(A241,BAR!A:I,7,FALSE)),"",VLOOKUP(A241,BAR!A:I,7,FALSE)))</f>
        <v/>
      </c>
    </row>
    <row r="242" spans="1:2">
      <c r="A242" t="str" cm="1">
        <f t="array" ref="A242">IFERROR(INDEX(BAR!A:A,SMALL(IF((LEFT(BAR!A$2:A$1048576,3)="SRT")+(LEFT(BAR!A$2:A$1048576,3)="PAS"),ROW(BAR!A$2:A$1048576)),ROW()-1)),"")</f>
        <v/>
      </c>
      <c r="B242" t="str">
        <f>IF(COUNTBLANK(A242),"",IF(ISBLANK(VLOOKUP(A242,BAR!A:I,7,FALSE)),"",VLOOKUP(A242,BAR!A:I,7,FALSE)))</f>
        <v/>
      </c>
    </row>
    <row r="243" spans="1:2">
      <c r="A243" t="str" cm="1">
        <f t="array" ref="A243">IFERROR(INDEX(BAR!A:A,SMALL(IF((LEFT(BAR!A$2:A$1048576,3)="SRT")+(LEFT(BAR!A$2:A$1048576,3)="PAS"),ROW(BAR!A$2:A$1048576)),ROW()-1)),"")</f>
        <v/>
      </c>
      <c r="B243" t="str">
        <f>IF(COUNTBLANK(A243),"",IF(ISBLANK(VLOOKUP(A243,BAR!A:I,7,FALSE)),"",VLOOKUP(A243,BAR!A:I,7,FALSE)))</f>
        <v/>
      </c>
    </row>
    <row r="244" spans="1:2">
      <c r="A244" t="str" cm="1">
        <f t="array" ref="A244">IFERROR(INDEX(BAR!A:A,SMALL(IF((LEFT(BAR!A$2:A$1048576,3)="SRT")+(LEFT(BAR!A$2:A$1048576,3)="PAS"),ROW(BAR!A$2:A$1048576)),ROW()-1)),"")</f>
        <v/>
      </c>
      <c r="B244" t="str">
        <f>IF(COUNTBLANK(A244),"",IF(ISBLANK(VLOOKUP(A244,BAR!A:I,7,FALSE)),"",VLOOKUP(A244,BAR!A:I,7,FALSE)))</f>
        <v/>
      </c>
    </row>
    <row r="245" spans="1:2">
      <c r="A245" t="str" cm="1">
        <f t="array" ref="A245">IFERROR(INDEX(BAR!A:A,SMALL(IF((LEFT(BAR!A$2:A$1048576,3)="SRT")+(LEFT(BAR!A$2:A$1048576,3)="PAS"),ROW(BAR!A$2:A$1048576)),ROW()-1)),"")</f>
        <v/>
      </c>
      <c r="B245" t="str">
        <f>IF(COUNTBLANK(A245),"",IF(ISBLANK(VLOOKUP(A245,BAR!A:I,7,FALSE)),"",VLOOKUP(A245,BAR!A:I,7,FALSE)))</f>
        <v/>
      </c>
    </row>
    <row r="246" spans="1:2">
      <c r="A246" t="str" cm="1">
        <f t="array" ref="A246">IFERROR(INDEX(BAR!A:A,SMALL(IF((LEFT(BAR!A$2:A$1048576,3)="SRT")+(LEFT(BAR!A$2:A$1048576,3)="PAS"),ROW(BAR!A$2:A$1048576)),ROW()-1)),"")</f>
        <v/>
      </c>
      <c r="B246" t="str">
        <f>IF(COUNTBLANK(A246),"",IF(ISBLANK(VLOOKUP(A246,BAR!A:I,7,FALSE)),"",VLOOKUP(A246,BAR!A:I,7,FALSE)))</f>
        <v/>
      </c>
    </row>
    <row r="247" spans="1:2">
      <c r="A247" t="str" cm="1">
        <f t="array" ref="A247">IFERROR(INDEX(BAR!A:A,SMALL(IF((LEFT(BAR!A$2:A$1048576,3)="SRT")+(LEFT(BAR!A$2:A$1048576,3)="PAS"),ROW(BAR!A$2:A$1048576)),ROW()-1)),"")</f>
        <v/>
      </c>
      <c r="B247" t="str">
        <f>IF(COUNTBLANK(A247),"",IF(ISBLANK(VLOOKUP(A247,BAR!A:I,7,FALSE)),"",VLOOKUP(A247,BAR!A:I,7,FALSE)))</f>
        <v/>
      </c>
    </row>
    <row r="248" spans="1:2">
      <c r="A248" t="str" cm="1">
        <f t="array" ref="A248">IFERROR(INDEX(BAR!A:A,SMALL(IF((LEFT(BAR!A$2:A$1048576,3)="SRT")+(LEFT(BAR!A$2:A$1048576,3)="PAS"),ROW(BAR!A$2:A$1048576)),ROW()-1)),"")</f>
        <v/>
      </c>
      <c r="B248" t="str">
        <f>IF(COUNTBLANK(A248),"",IF(ISBLANK(VLOOKUP(A248,BAR!A:I,7,FALSE)),"",VLOOKUP(A248,BAR!A:I,7,FALSE)))</f>
        <v/>
      </c>
    </row>
    <row r="249" spans="1:2">
      <c r="A249" t="str" cm="1">
        <f t="array" ref="A249">IFERROR(INDEX(BAR!A:A,SMALL(IF((LEFT(BAR!A$2:A$1048576,3)="SRT")+(LEFT(BAR!A$2:A$1048576,3)="PAS"),ROW(BAR!A$2:A$1048576)),ROW()-1)),"")</f>
        <v/>
      </c>
      <c r="B249" t="str">
        <f>IF(COUNTBLANK(A249),"",IF(ISBLANK(VLOOKUP(A249,BAR!A:I,7,FALSE)),"",VLOOKUP(A249,BAR!A:I,7,FALSE)))</f>
        <v/>
      </c>
    </row>
    <row r="250" spans="1:2">
      <c r="A250" t="str" cm="1">
        <f t="array" ref="A250">IFERROR(INDEX(BAR!A:A,SMALL(IF((LEFT(BAR!A$2:A$1048576,3)="SRT")+(LEFT(BAR!A$2:A$1048576,3)="PAS"),ROW(BAR!A$2:A$1048576)),ROW()-1)),"")</f>
        <v/>
      </c>
      <c r="B250" t="str">
        <f>IF(COUNTBLANK(A250),"",IF(ISBLANK(VLOOKUP(A250,BAR!A:I,7,FALSE)),"",VLOOKUP(A250,BAR!A:I,7,FALSE)))</f>
        <v/>
      </c>
    </row>
    <row r="251" spans="1:2">
      <c r="A251" t="str" cm="1">
        <f t="array" ref="A251">IFERROR(INDEX(BAR!A:A,SMALL(IF((LEFT(BAR!A$2:A$1048576,3)="SRT")+(LEFT(BAR!A$2:A$1048576,3)="PAS"),ROW(BAR!A$2:A$1048576)),ROW()-1)),"")</f>
        <v/>
      </c>
      <c r="B251" t="str">
        <f>IF(COUNTBLANK(A251),"",IF(ISBLANK(VLOOKUP(A251,BAR!A:I,7,FALSE)),"",VLOOKUP(A251,BAR!A:I,7,FALSE)))</f>
        <v/>
      </c>
    </row>
    <row r="252" spans="1:2">
      <c r="A252" t="str" cm="1">
        <f t="array" ref="A252">IFERROR(INDEX(BAR!A:A,SMALL(IF((LEFT(BAR!A$2:A$1048576,3)="SRT")+(LEFT(BAR!A$2:A$1048576,3)="PAS"),ROW(BAR!A$2:A$1048576)),ROW()-1)),"")</f>
        <v/>
      </c>
      <c r="B252" t="str">
        <f>IF(COUNTBLANK(A252),"",IF(ISBLANK(VLOOKUP(A252,BAR!A:I,7,FALSE)),"",VLOOKUP(A252,BAR!A:I,7,FALSE)))</f>
        <v/>
      </c>
    </row>
    <row r="253" spans="1:2">
      <c r="A253" t="str" cm="1">
        <f t="array" ref="A253">IFERROR(INDEX(BAR!A:A,SMALL(IF((LEFT(BAR!A$2:A$1048576,3)="SRT")+(LEFT(BAR!A$2:A$1048576,3)="PAS"),ROW(BAR!A$2:A$1048576)),ROW()-1)),"")</f>
        <v/>
      </c>
      <c r="B253" t="str">
        <f>IF(COUNTBLANK(A253),"",IF(ISBLANK(VLOOKUP(A253,BAR!A:I,7,FALSE)),"",VLOOKUP(A253,BAR!A:I,7,FALSE)))</f>
        <v/>
      </c>
    </row>
    <row r="254" spans="1:2">
      <c r="A254" t="str" cm="1">
        <f t="array" ref="A254">IFERROR(INDEX(BAR!A:A,SMALL(IF((LEFT(BAR!A$2:A$1048576,3)="SRT")+(LEFT(BAR!A$2:A$1048576,3)="PAS"),ROW(BAR!A$2:A$1048576)),ROW()-1)),"")</f>
        <v/>
      </c>
      <c r="B254" t="str">
        <f>IF(COUNTBLANK(A254),"",IF(ISBLANK(VLOOKUP(A254,BAR!A:I,7,FALSE)),"",VLOOKUP(A254,BAR!A:I,7,FALSE)))</f>
        <v/>
      </c>
    </row>
    <row r="255" spans="1:2">
      <c r="A255" t="str" cm="1">
        <f t="array" ref="A255">IFERROR(INDEX(BAR!A:A,SMALL(IF((LEFT(BAR!A$2:A$1048576,3)="SRT")+(LEFT(BAR!A$2:A$1048576,3)="PAS"),ROW(BAR!A$2:A$1048576)),ROW()-1)),"")</f>
        <v/>
      </c>
      <c r="B255" t="str">
        <f>IF(COUNTBLANK(A255),"",IF(ISBLANK(VLOOKUP(A255,BAR!A:I,7,FALSE)),"",VLOOKUP(A255,BAR!A:I,7,FALSE)))</f>
        <v/>
      </c>
    </row>
    <row r="256" spans="1:2">
      <c r="A256" t="str" cm="1">
        <f t="array" ref="A256">IFERROR(INDEX(BAR!A:A,SMALL(IF((LEFT(BAR!A$2:A$1048576,3)="SRT")+(LEFT(BAR!A$2:A$1048576,3)="PAS"),ROW(BAR!A$2:A$1048576)),ROW()-1)),"")</f>
        <v/>
      </c>
      <c r="B256" t="str">
        <f>IF(COUNTBLANK(A256),"",IF(ISBLANK(VLOOKUP(A256,BAR!A:I,7,FALSE)),"",VLOOKUP(A256,BAR!A:I,7,FALSE)))</f>
        <v/>
      </c>
    </row>
    <row r="257" spans="1:2">
      <c r="A257" t="str" cm="1">
        <f t="array" ref="A257">IFERROR(INDEX(BAR!A:A,SMALL(IF((LEFT(BAR!A$2:A$1048576,3)="SRT")+(LEFT(BAR!A$2:A$1048576,3)="PAS"),ROW(BAR!A$2:A$1048576)),ROW()-1)),"")</f>
        <v/>
      </c>
      <c r="B257" t="str">
        <f>IF(COUNTBLANK(A257),"",IF(ISBLANK(VLOOKUP(A257,BAR!A:I,7,FALSE)),"",VLOOKUP(A257,BAR!A:I,7,FALSE)))</f>
        <v/>
      </c>
    </row>
    <row r="258" spans="1:2">
      <c r="A258" t="str" cm="1">
        <f t="array" ref="A258">IFERROR(INDEX(BAR!A:A,SMALL(IF((LEFT(BAR!A$2:A$1048576,3)="SRT")+(LEFT(BAR!A$2:A$1048576,3)="PAS"),ROW(BAR!A$2:A$1048576)),ROW()-1)),"")</f>
        <v/>
      </c>
      <c r="B258" t="str">
        <f>IF(COUNTBLANK(A258),"",IF(ISBLANK(VLOOKUP(A258,BAR!A:I,7,FALSE)),"",VLOOKUP(A258,BAR!A:I,7,FALSE)))</f>
        <v/>
      </c>
    </row>
    <row r="259" spans="1:2">
      <c r="A259" t="str" cm="1">
        <f t="array" ref="A259">IFERROR(INDEX(BAR!A:A,SMALL(IF((LEFT(BAR!A$2:A$1048576,3)="SRT")+(LEFT(BAR!A$2:A$1048576,3)="PAS"),ROW(BAR!A$2:A$1048576)),ROW()-1)),"")</f>
        <v/>
      </c>
      <c r="B259" t="str">
        <f>IF(COUNTBLANK(A259),"",IF(ISBLANK(VLOOKUP(A259,BAR!A:I,7,FALSE)),"",VLOOKUP(A259,BAR!A:I,7,FALSE)))</f>
        <v/>
      </c>
    </row>
    <row r="260" spans="1:2">
      <c r="A260" t="str" cm="1">
        <f t="array" ref="A260">IFERROR(INDEX(BAR!A:A,SMALL(IF((LEFT(BAR!A$2:A$1048576,3)="SRT")+(LEFT(BAR!A$2:A$1048576,3)="PAS"),ROW(BAR!A$2:A$1048576)),ROW()-1)),"")</f>
        <v/>
      </c>
      <c r="B260" t="str">
        <f>IF(COUNTBLANK(A260),"",IF(ISBLANK(VLOOKUP(A260,BAR!A:I,7,FALSE)),"",VLOOKUP(A260,BAR!A:I,7,FALSE)))</f>
        <v/>
      </c>
    </row>
    <row r="261" spans="1:2">
      <c r="A261" t="str" cm="1">
        <f t="array" ref="A261">IFERROR(INDEX(BAR!A:A,SMALL(IF((LEFT(BAR!A$2:A$1048576,3)="SRT")+(LEFT(BAR!A$2:A$1048576,3)="PAS"),ROW(BAR!A$2:A$1048576)),ROW()-1)),"")</f>
        <v/>
      </c>
      <c r="B261" t="str">
        <f>IF(COUNTBLANK(A261),"",IF(ISBLANK(VLOOKUP(A261,BAR!A:I,7,FALSE)),"",VLOOKUP(A261,BAR!A:I,7,FALSE)))</f>
        <v/>
      </c>
    </row>
    <row r="262" spans="1:2">
      <c r="A262" t="str" cm="1">
        <f t="array" ref="A262">IFERROR(INDEX(BAR!A:A,SMALL(IF((LEFT(BAR!A$2:A$1048576,3)="SRT")+(LEFT(BAR!A$2:A$1048576,3)="PAS"),ROW(BAR!A$2:A$1048576)),ROW()-1)),"")</f>
        <v/>
      </c>
      <c r="B262" t="str">
        <f>IF(COUNTBLANK(A262),"",IF(ISBLANK(VLOOKUP(A262,BAR!A:I,7,FALSE)),"",VLOOKUP(A262,BAR!A:I,7,FALSE)))</f>
        <v/>
      </c>
    </row>
    <row r="263" spans="1:2">
      <c r="A263" t="str" cm="1">
        <f t="array" ref="A263">IFERROR(INDEX(BAR!A:A,SMALL(IF((LEFT(BAR!A$2:A$1048576,3)="SRT")+(LEFT(BAR!A$2:A$1048576,3)="PAS"),ROW(BAR!A$2:A$1048576)),ROW()-1)),"")</f>
        <v/>
      </c>
      <c r="B263" t="str">
        <f>IF(COUNTBLANK(A263),"",IF(ISBLANK(VLOOKUP(A263,BAR!A:I,7,FALSE)),"",VLOOKUP(A263,BAR!A:I,7,FALSE)))</f>
        <v/>
      </c>
    </row>
    <row r="264" spans="1:2">
      <c r="A264" t="str" cm="1">
        <f t="array" ref="A264">IFERROR(INDEX(BAR!A:A,SMALL(IF((LEFT(BAR!A$2:A$1048576,3)="SRT")+(LEFT(BAR!A$2:A$1048576,3)="PAS"),ROW(BAR!A$2:A$1048576)),ROW()-1)),"")</f>
        <v/>
      </c>
      <c r="B264" t="str">
        <f>IF(COUNTBLANK(A264),"",IF(ISBLANK(VLOOKUP(A264,BAR!A:I,7,FALSE)),"",VLOOKUP(A264,BAR!A:I,7,FALSE)))</f>
        <v/>
      </c>
    </row>
    <row r="265" spans="1:2">
      <c r="A265" t="str" cm="1">
        <f t="array" ref="A265">IFERROR(INDEX(BAR!A:A,SMALL(IF((LEFT(BAR!A$2:A$1048576,3)="SRT")+(LEFT(BAR!A$2:A$1048576,3)="PAS"),ROW(BAR!A$2:A$1048576)),ROW()-1)),"")</f>
        <v/>
      </c>
      <c r="B265" t="str">
        <f>IF(COUNTBLANK(A265),"",IF(ISBLANK(VLOOKUP(A265,BAR!A:I,7,FALSE)),"",VLOOKUP(A265,BAR!A:I,7,FALSE)))</f>
        <v/>
      </c>
    </row>
    <row r="266" spans="1:2">
      <c r="A266" t="str" cm="1">
        <f t="array" ref="A266">IFERROR(INDEX(BAR!A:A,SMALL(IF((LEFT(BAR!A$2:A$1048576,3)="SRT")+(LEFT(BAR!A$2:A$1048576,3)="PAS"),ROW(BAR!A$2:A$1048576)),ROW()-1)),"")</f>
        <v/>
      </c>
      <c r="B266" t="str">
        <f>IF(COUNTBLANK(A266),"",IF(ISBLANK(VLOOKUP(A266,BAR!A:I,7,FALSE)),"",VLOOKUP(A266,BAR!A:I,7,FALSE)))</f>
        <v/>
      </c>
    </row>
    <row r="267" spans="1:2">
      <c r="A267" t="str" cm="1">
        <f t="array" ref="A267">IFERROR(INDEX(BAR!A:A,SMALL(IF((LEFT(BAR!A$2:A$1048576,3)="SRT")+(LEFT(BAR!A$2:A$1048576,3)="PAS"),ROW(BAR!A$2:A$1048576)),ROW()-1)),"")</f>
        <v/>
      </c>
      <c r="B267" t="str">
        <f>IF(COUNTBLANK(A267),"",IF(ISBLANK(VLOOKUP(A267,BAR!A:I,7,FALSE)),"",VLOOKUP(A267,BAR!A:I,7,FALSE)))</f>
        <v/>
      </c>
    </row>
    <row r="268" spans="1:2">
      <c r="A268" t="str" cm="1">
        <f t="array" ref="A268">IFERROR(INDEX(BAR!A:A,SMALL(IF((LEFT(BAR!A$2:A$1048576,3)="SRT")+(LEFT(BAR!A$2:A$1048576,3)="PAS"),ROW(BAR!A$2:A$1048576)),ROW()-1)),"")</f>
        <v/>
      </c>
      <c r="B268" t="str">
        <f>IF(COUNTBLANK(A268),"",IF(ISBLANK(VLOOKUP(A268,BAR!A:I,7,FALSE)),"",VLOOKUP(A268,BAR!A:I,7,FALSE)))</f>
        <v/>
      </c>
    </row>
    <row r="269" spans="1:2">
      <c r="A269" t="str" cm="1">
        <f t="array" ref="A269">IFERROR(INDEX(BAR!A:A,SMALL(IF((LEFT(BAR!A$2:A$1048576,3)="SRT")+(LEFT(BAR!A$2:A$1048576,3)="PAS"),ROW(BAR!A$2:A$1048576)),ROW()-1)),"")</f>
        <v/>
      </c>
      <c r="B269" t="str">
        <f>IF(COUNTBLANK(A269),"",IF(ISBLANK(VLOOKUP(A269,BAR!A:I,7,FALSE)),"",VLOOKUP(A269,BAR!A:I,7,FALSE)))</f>
        <v/>
      </c>
    </row>
    <row r="270" spans="1:2">
      <c r="A270" t="str" cm="1">
        <f t="array" ref="A270">IFERROR(INDEX(BAR!A:A,SMALL(IF((LEFT(BAR!A$2:A$1048576,3)="SRT")+(LEFT(BAR!A$2:A$1048576,3)="PAS"),ROW(BAR!A$2:A$1048576)),ROW()-1)),"")</f>
        <v/>
      </c>
      <c r="B270" t="str">
        <f>IF(COUNTBLANK(A270),"",IF(ISBLANK(VLOOKUP(A270,BAR!A:I,7,FALSE)),"",VLOOKUP(A270,BAR!A:I,7,FALSE)))</f>
        <v/>
      </c>
    </row>
    <row r="271" spans="1:2">
      <c r="A271" t="str" cm="1">
        <f t="array" ref="A271">IFERROR(INDEX(BAR!A:A,SMALL(IF((LEFT(BAR!A$2:A$1048576,3)="SRT")+(LEFT(BAR!A$2:A$1048576,3)="PAS"),ROW(BAR!A$2:A$1048576)),ROW()-1)),"")</f>
        <v/>
      </c>
      <c r="B271" t="str">
        <f>IF(COUNTBLANK(A271),"",IF(ISBLANK(VLOOKUP(A271,BAR!A:I,7,FALSE)),"",VLOOKUP(A271,BAR!A:I,7,FALSE)))</f>
        <v/>
      </c>
    </row>
    <row r="272" spans="1:2">
      <c r="A272" t="str" cm="1">
        <f t="array" ref="A272">IFERROR(INDEX(BAR!A:A,SMALL(IF((LEFT(BAR!A$2:A$1048576,3)="SRT")+(LEFT(BAR!A$2:A$1048576,3)="PAS"),ROW(BAR!A$2:A$1048576)),ROW()-1)),"")</f>
        <v/>
      </c>
      <c r="B272" t="str">
        <f>IF(COUNTBLANK(A272),"",IF(ISBLANK(VLOOKUP(A272,BAR!A:I,7,FALSE)),"",VLOOKUP(A272,BAR!A:I,7,FALSE)))</f>
        <v/>
      </c>
    </row>
    <row r="273" spans="1:2">
      <c r="A273" t="str" cm="1">
        <f t="array" ref="A273">IFERROR(INDEX(BAR!A:A,SMALL(IF((LEFT(BAR!A$2:A$1048576,3)="SRT")+(LEFT(BAR!A$2:A$1048576,3)="PAS"),ROW(BAR!A$2:A$1048576)),ROW()-1)),"")</f>
        <v/>
      </c>
      <c r="B273" t="str">
        <f>IF(COUNTBLANK(A273),"",IF(ISBLANK(VLOOKUP(A273,BAR!A:I,7,FALSE)),"",VLOOKUP(A273,BAR!A:I,7,FALSE)))</f>
        <v/>
      </c>
    </row>
    <row r="274" spans="1:2">
      <c r="A274" t="str" cm="1">
        <f t="array" ref="A274">IFERROR(INDEX(BAR!A:A,SMALL(IF((LEFT(BAR!A$2:A$1048576,3)="SRT")+(LEFT(BAR!A$2:A$1048576,3)="PAS"),ROW(BAR!A$2:A$1048576)),ROW()-1)),"")</f>
        <v/>
      </c>
      <c r="B274" t="str">
        <f>IF(COUNTBLANK(A274),"",IF(ISBLANK(VLOOKUP(A274,BAR!A:I,7,FALSE)),"",VLOOKUP(A274,BAR!A:I,7,FALSE)))</f>
        <v/>
      </c>
    </row>
    <row r="275" spans="1:2">
      <c r="A275" t="str" cm="1">
        <f t="array" ref="A275">IFERROR(INDEX(BAR!A:A,SMALL(IF((LEFT(BAR!A$2:A$1048576,3)="SRT")+(LEFT(BAR!A$2:A$1048576,3)="PAS"),ROW(BAR!A$2:A$1048576)),ROW()-1)),"")</f>
        <v/>
      </c>
      <c r="B275" t="str">
        <f>IF(COUNTBLANK(A275),"",IF(ISBLANK(VLOOKUP(A275,BAR!A:I,7,FALSE)),"",VLOOKUP(A275,BAR!A:I,7,FALSE)))</f>
        <v/>
      </c>
    </row>
    <row r="276" spans="1:2">
      <c r="A276" t="str" cm="1">
        <f t="array" ref="A276">IFERROR(INDEX(BAR!A:A,SMALL(IF((LEFT(BAR!A$2:A$1048576,3)="SRT")+(LEFT(BAR!A$2:A$1048576,3)="PAS"),ROW(BAR!A$2:A$1048576)),ROW()-1)),"")</f>
        <v/>
      </c>
      <c r="B276" t="str">
        <f>IF(COUNTBLANK(A276),"",IF(ISBLANK(VLOOKUP(A276,BAR!A:I,7,FALSE)),"",VLOOKUP(A276,BAR!A:I,7,FALSE)))</f>
        <v/>
      </c>
    </row>
    <row r="277" spans="1:2">
      <c r="A277" t="str" cm="1">
        <f t="array" ref="A277">IFERROR(INDEX(BAR!A:A,SMALL(IF((LEFT(BAR!A$2:A$1048576,3)="SRT")+(LEFT(BAR!A$2:A$1048576,3)="PAS"),ROW(BAR!A$2:A$1048576)),ROW()-1)),"")</f>
        <v/>
      </c>
      <c r="B277" t="str">
        <f>IF(COUNTBLANK(A277),"",IF(ISBLANK(VLOOKUP(A277,BAR!A:I,7,FALSE)),"",VLOOKUP(A277,BAR!A:I,7,FALSE)))</f>
        <v/>
      </c>
    </row>
    <row r="278" spans="1:2">
      <c r="A278" t="str" cm="1">
        <f t="array" ref="A278">IFERROR(INDEX(BAR!A:A,SMALL(IF((LEFT(BAR!A$2:A$1048576,3)="SRT")+(LEFT(BAR!A$2:A$1048576,3)="PAS"),ROW(BAR!A$2:A$1048576)),ROW()-1)),"")</f>
        <v/>
      </c>
      <c r="B278" t="str">
        <f>IF(COUNTBLANK(A278),"",IF(ISBLANK(VLOOKUP(A278,BAR!A:I,7,FALSE)),"",VLOOKUP(A278,BAR!A:I,7,FALSE)))</f>
        <v/>
      </c>
    </row>
    <row r="279" spans="1:2">
      <c r="A279" t="str" cm="1">
        <f t="array" ref="A279">IFERROR(INDEX(BAR!A:A,SMALL(IF((LEFT(BAR!A$2:A$1048576,3)="SRT")+(LEFT(BAR!A$2:A$1048576,3)="PAS"),ROW(BAR!A$2:A$1048576)),ROW()-1)),"")</f>
        <v/>
      </c>
      <c r="B279" t="str">
        <f>IF(COUNTBLANK(A279),"",IF(ISBLANK(VLOOKUP(A279,BAR!A:I,7,FALSE)),"",VLOOKUP(A279,BAR!A:I,7,FALSE)))</f>
        <v/>
      </c>
    </row>
    <row r="280" spans="1:2">
      <c r="A280" t="str" cm="1">
        <f t="array" ref="A280">IFERROR(INDEX(BAR!A:A,SMALL(IF((LEFT(BAR!A$2:A$1048576,3)="SRT")+(LEFT(BAR!A$2:A$1048576,3)="PAS"),ROW(BAR!A$2:A$1048576)),ROW()-1)),"")</f>
        <v/>
      </c>
      <c r="B280" t="str">
        <f>IF(COUNTBLANK(A280),"",IF(ISBLANK(VLOOKUP(A280,BAR!A:I,7,FALSE)),"",VLOOKUP(A280,BAR!A:I,7,FALSE)))</f>
        <v/>
      </c>
    </row>
    <row r="281" spans="1:2">
      <c r="A281" t="str" cm="1">
        <f t="array" ref="A281">IFERROR(INDEX(BAR!A:A,SMALL(IF((LEFT(BAR!A$2:A$1048576,3)="SRT")+(LEFT(BAR!A$2:A$1048576,3)="PAS"),ROW(BAR!A$2:A$1048576)),ROW()-1)),"")</f>
        <v/>
      </c>
      <c r="B281" t="str">
        <f>IF(COUNTBLANK(A281),"",IF(ISBLANK(VLOOKUP(A281,BAR!A:I,7,FALSE)),"",VLOOKUP(A281,BAR!A:I,7,FALSE)))</f>
        <v/>
      </c>
    </row>
    <row r="282" spans="1:2">
      <c r="A282" t="str" cm="1">
        <f t="array" ref="A282">IFERROR(INDEX(BAR!A:A,SMALL(IF((LEFT(BAR!A$2:A$1048576,3)="SRT")+(LEFT(BAR!A$2:A$1048576,3)="PAS"),ROW(BAR!A$2:A$1048576)),ROW()-1)),"")</f>
        <v/>
      </c>
      <c r="B282" t="str">
        <f>IF(COUNTBLANK(A282),"",IF(ISBLANK(VLOOKUP(A282,BAR!A:I,7,FALSE)),"",VLOOKUP(A282,BAR!A:I,7,FALSE)))</f>
        <v/>
      </c>
    </row>
    <row r="283" spans="1:2">
      <c r="A283" t="str" cm="1">
        <f t="array" ref="A283">IFERROR(INDEX(BAR!A:A,SMALL(IF((LEFT(BAR!A$2:A$1048576,3)="SRT")+(LEFT(BAR!A$2:A$1048576,3)="PAS"),ROW(BAR!A$2:A$1048576)),ROW()-1)),"")</f>
        <v/>
      </c>
      <c r="B283" t="str">
        <f>IF(COUNTBLANK(A283),"",IF(ISBLANK(VLOOKUP(A283,BAR!A:I,7,FALSE)),"",VLOOKUP(A283,BAR!A:I,7,FALSE)))</f>
        <v/>
      </c>
    </row>
    <row r="284" spans="1:2">
      <c r="A284" t="str" cm="1">
        <f t="array" ref="A284">IFERROR(INDEX(BAR!A:A,SMALL(IF((LEFT(BAR!A$2:A$1048576,3)="SRT")+(LEFT(BAR!A$2:A$1048576,3)="PAS"),ROW(BAR!A$2:A$1048576)),ROW()-1)),"")</f>
        <v/>
      </c>
      <c r="B284" t="str">
        <f>IF(COUNTBLANK(A284),"",IF(ISBLANK(VLOOKUP(A284,BAR!A:I,7,FALSE)),"",VLOOKUP(A284,BAR!A:I,7,FALSE)))</f>
        <v/>
      </c>
    </row>
    <row r="285" spans="1:2">
      <c r="A285" t="str" cm="1">
        <f t="array" ref="A285">IFERROR(INDEX(BAR!A:A,SMALL(IF((LEFT(BAR!A$2:A$1048576,3)="SRT")+(LEFT(BAR!A$2:A$1048576,3)="PAS"),ROW(BAR!A$2:A$1048576)),ROW()-1)),"")</f>
        <v/>
      </c>
      <c r="B285" t="str">
        <f>IF(COUNTBLANK(A285),"",IF(ISBLANK(VLOOKUP(A285,BAR!A:I,7,FALSE)),"",VLOOKUP(A285,BAR!A:I,7,FALSE)))</f>
        <v/>
      </c>
    </row>
    <row r="286" spans="1:2">
      <c r="A286" t="str" cm="1">
        <f t="array" ref="A286">IFERROR(INDEX(BAR!A:A,SMALL(IF((LEFT(BAR!A$2:A$1048576,3)="SRT")+(LEFT(BAR!A$2:A$1048576,3)="PAS"),ROW(BAR!A$2:A$1048576)),ROW()-1)),"")</f>
        <v/>
      </c>
      <c r="B286" t="str">
        <f>IF(COUNTBLANK(A286),"",IF(ISBLANK(VLOOKUP(A286,BAR!A:I,7,FALSE)),"",VLOOKUP(A286,BAR!A:I,7,FALSE)))</f>
        <v/>
      </c>
    </row>
    <row r="287" spans="1:2">
      <c r="A287" t="str" cm="1">
        <f t="array" ref="A287">IFERROR(INDEX(BAR!A:A,SMALL(IF((LEFT(BAR!A$2:A$1048576,3)="SRT")+(LEFT(BAR!A$2:A$1048576,3)="PAS"),ROW(BAR!A$2:A$1048576)),ROW()-1)),"")</f>
        <v/>
      </c>
      <c r="B287" t="str">
        <f>IF(COUNTBLANK(A287),"",IF(ISBLANK(VLOOKUP(A287,BAR!A:I,7,FALSE)),"",VLOOKUP(A287,BAR!A:I,7,FALSE)))</f>
        <v/>
      </c>
    </row>
    <row r="288" spans="1:2">
      <c r="A288" t="str" cm="1">
        <f t="array" ref="A288">IFERROR(INDEX(BAR!A:A,SMALL(IF((LEFT(BAR!A$2:A$1048576,3)="SRT")+(LEFT(BAR!A$2:A$1048576,3)="PAS"),ROW(BAR!A$2:A$1048576)),ROW()-1)),"")</f>
        <v/>
      </c>
      <c r="B288" t="str">
        <f>IF(COUNTBLANK(A288),"",IF(ISBLANK(VLOOKUP(A288,BAR!A:I,7,FALSE)),"",VLOOKUP(A288,BAR!A:I,7,FALSE)))</f>
        <v/>
      </c>
    </row>
    <row r="289" spans="1:2">
      <c r="A289" t="str" cm="1">
        <f t="array" ref="A289">IFERROR(INDEX(BAR!A:A,SMALL(IF((LEFT(BAR!A$2:A$1048576,3)="SRT")+(LEFT(BAR!A$2:A$1048576,3)="PAS"),ROW(BAR!A$2:A$1048576)),ROW()-1)),"")</f>
        <v/>
      </c>
      <c r="B289" t="str">
        <f>IF(COUNTBLANK(A289),"",IF(ISBLANK(VLOOKUP(A289,BAR!A:I,7,FALSE)),"",VLOOKUP(A289,BAR!A:I,7,FALSE)))</f>
        <v/>
      </c>
    </row>
    <row r="290" spans="1:2">
      <c r="A290" t="str" cm="1">
        <f t="array" ref="A290">IFERROR(INDEX(BAR!A:A,SMALL(IF((LEFT(BAR!A$2:A$1048576,3)="SRT")+(LEFT(BAR!A$2:A$1048576,3)="PAS"),ROW(BAR!A$2:A$1048576)),ROW()-1)),"")</f>
        <v/>
      </c>
      <c r="B290" t="str">
        <f>IF(COUNTBLANK(A290),"",IF(ISBLANK(VLOOKUP(A290,BAR!A:I,7,FALSE)),"",VLOOKUP(A290,BAR!A:I,7,FALSE)))</f>
        <v/>
      </c>
    </row>
    <row r="291" spans="1:2">
      <c r="A291" t="str" cm="1">
        <f t="array" ref="A291">IFERROR(INDEX(BAR!A:A,SMALL(IF((LEFT(BAR!A$2:A$1048576,3)="SRT")+(LEFT(BAR!A$2:A$1048576,3)="PAS"),ROW(BAR!A$2:A$1048576)),ROW()-1)),"")</f>
        <v/>
      </c>
      <c r="B291" t="str">
        <f>IF(COUNTBLANK(A291),"",IF(ISBLANK(VLOOKUP(A291,BAR!A:I,7,FALSE)),"",VLOOKUP(A291,BAR!A:I,7,FALSE)))</f>
        <v/>
      </c>
    </row>
    <row r="292" spans="1:2">
      <c r="A292" t="str" cm="1">
        <f t="array" ref="A292">IFERROR(INDEX(BAR!A:A,SMALL(IF((LEFT(BAR!A$2:A$1048576,3)="SRT")+(LEFT(BAR!A$2:A$1048576,3)="PAS"),ROW(BAR!A$2:A$1048576)),ROW()-1)),"")</f>
        <v/>
      </c>
      <c r="B292" t="str">
        <f>IF(COUNTBLANK(A292),"",IF(ISBLANK(VLOOKUP(A292,BAR!A:I,7,FALSE)),"",VLOOKUP(A292,BAR!A:I,7,FALSE)))</f>
        <v/>
      </c>
    </row>
    <row r="293" spans="1:2">
      <c r="A293" t="str" cm="1">
        <f t="array" ref="A293">IFERROR(INDEX(BAR!A:A,SMALL(IF((LEFT(BAR!A$2:A$1048576,3)="SRT")+(LEFT(BAR!A$2:A$1048576,3)="PAS"),ROW(BAR!A$2:A$1048576)),ROW()-1)),"")</f>
        <v/>
      </c>
      <c r="B293" t="str">
        <f>IF(COUNTBLANK(A293),"",IF(ISBLANK(VLOOKUP(A293,BAR!A:I,7,FALSE)),"",VLOOKUP(A293,BAR!A:I,7,FALSE)))</f>
        <v/>
      </c>
    </row>
    <row r="294" spans="1:2">
      <c r="A294" t="str" cm="1">
        <f t="array" ref="A294">IFERROR(INDEX(BAR!A:A,SMALL(IF((LEFT(BAR!A$2:A$1048576,3)="SRT")+(LEFT(BAR!A$2:A$1048576,3)="PAS"),ROW(BAR!A$2:A$1048576)),ROW()-1)),"")</f>
        <v/>
      </c>
      <c r="B294" t="str">
        <f>IF(COUNTBLANK(A294),"",IF(ISBLANK(VLOOKUP(A294,BAR!A:I,7,FALSE)),"",VLOOKUP(A294,BAR!A:I,7,FALSE)))</f>
        <v/>
      </c>
    </row>
    <row r="295" spans="1:2">
      <c r="A295" t="str" cm="1">
        <f t="array" ref="A295">IFERROR(INDEX(BAR!A:A,SMALL(IF((LEFT(BAR!A$2:A$1048576,3)="SRT")+(LEFT(BAR!A$2:A$1048576,3)="PAS"),ROW(BAR!A$2:A$1048576)),ROW()-1)),"")</f>
        <v/>
      </c>
      <c r="B295" t="str">
        <f>IF(COUNTBLANK(A295),"",IF(ISBLANK(VLOOKUP(A295,BAR!A:I,7,FALSE)),"",VLOOKUP(A295,BAR!A:I,7,FALSE)))</f>
        <v/>
      </c>
    </row>
    <row r="296" spans="1:2">
      <c r="A296" t="str" cm="1">
        <f t="array" ref="A296">IFERROR(INDEX(BAR!A:A,SMALL(IF((LEFT(BAR!A$2:A$1048576,3)="SRT")+(LEFT(BAR!A$2:A$1048576,3)="PAS"),ROW(BAR!A$2:A$1048576)),ROW()-1)),"")</f>
        <v/>
      </c>
      <c r="B296" t="str">
        <f>IF(COUNTBLANK(A296),"",IF(ISBLANK(VLOOKUP(A296,BAR!A:I,7,FALSE)),"",VLOOKUP(A296,BAR!A:I,7,FALSE)))</f>
        <v/>
      </c>
    </row>
    <row r="297" spans="1:2">
      <c r="A297" t="str" cm="1">
        <f t="array" ref="A297">IFERROR(INDEX(BAR!A:A,SMALL(IF((LEFT(BAR!A$2:A$1048576,3)="SRT")+(LEFT(BAR!A$2:A$1048576,3)="PAS"),ROW(BAR!A$2:A$1048576)),ROW()-1)),"")</f>
        <v/>
      </c>
      <c r="B297" t="str">
        <f>IF(COUNTBLANK(A297),"",IF(ISBLANK(VLOOKUP(A297,BAR!A:I,7,FALSE)),"",VLOOKUP(A297,BAR!A:I,7,FALSE)))</f>
        <v/>
      </c>
    </row>
    <row r="298" spans="1:2">
      <c r="A298" t="str" cm="1">
        <f t="array" ref="A298">IFERROR(INDEX(BAR!A:A,SMALL(IF((LEFT(BAR!A$2:A$1048576,3)="SRT")+(LEFT(BAR!A$2:A$1048576,3)="PAS"),ROW(BAR!A$2:A$1048576)),ROW()-1)),"")</f>
        <v/>
      </c>
      <c r="B298" t="str">
        <f>IF(COUNTBLANK(A298),"",IF(ISBLANK(VLOOKUP(A298,BAR!A:I,7,FALSE)),"",VLOOKUP(A298,BAR!A:I,7,FALSE)))</f>
        <v/>
      </c>
    </row>
    <row r="299" spans="1:2">
      <c r="A299" t="str" cm="1">
        <f t="array" ref="A299">IFERROR(INDEX(BAR!A:A,SMALL(IF((LEFT(BAR!A$2:A$1048576,3)="SRT")+(LEFT(BAR!A$2:A$1048576,3)="PAS"),ROW(BAR!A$2:A$1048576)),ROW()-1)),"")</f>
        <v/>
      </c>
      <c r="B299" t="str">
        <f>IF(COUNTBLANK(A299),"",IF(ISBLANK(VLOOKUP(A299,BAR!A:I,7,FALSE)),"",VLOOKUP(A299,BAR!A:I,7,FALSE)))</f>
        <v/>
      </c>
    </row>
    <row r="300" spans="1:2">
      <c r="A300" t="str" cm="1">
        <f t="array" ref="A300">IFERROR(INDEX(BAR!A:A,SMALL(IF((LEFT(BAR!A$2:A$1048576,3)="SRT")+(LEFT(BAR!A$2:A$1048576,3)="PAS"),ROW(BAR!A$2:A$1048576)),ROW()-1)),"")</f>
        <v/>
      </c>
      <c r="B300" t="str">
        <f>IF(COUNTBLANK(A300),"",IF(ISBLANK(VLOOKUP(A300,BAR!A:I,7,FALSE)),"",VLOOKUP(A300,BAR!A:I,7,FALSE)))</f>
        <v/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3"/>
    <pageSetUpPr fitToPage="1"/>
  </sheetPr>
  <dimension ref="A1:M162"/>
  <sheetViews>
    <sheetView tabSelected="1" zoomScale="40" zoomScaleNormal="40" zoomScaleSheetLayoutView="25" workbookViewId="0">
      <selection activeCell="I9" sqref="I9"/>
    </sheetView>
  </sheetViews>
  <sheetFormatPr baseColWidth="10" defaultColWidth="9.1640625" defaultRowHeight="33"/>
  <cols>
    <col min="1" max="1" width="35" style="5" customWidth="1"/>
    <col min="2" max="2" width="105.6640625" style="6" bestFit="1" customWidth="1"/>
    <col min="3" max="3" width="10.5" style="5" customWidth="1"/>
    <col min="4" max="5" width="25.6640625" style="5" customWidth="1"/>
    <col min="6" max="7" width="25.6640625" style="7" customWidth="1"/>
    <col min="8" max="8" width="33" style="7" customWidth="1"/>
    <col min="9" max="9" width="25.6640625" style="7" customWidth="1"/>
    <col min="10" max="11" width="9.1640625" style="7"/>
    <col min="12" max="13" width="17.6640625" style="7" customWidth="1"/>
    <col min="14" max="16384" width="9.1640625" style="7"/>
  </cols>
  <sheetData>
    <row r="1" spans="1:13" ht="19" customHeight="1">
      <c r="A1" s="88"/>
      <c r="B1" s="89"/>
      <c r="C1" s="89"/>
      <c r="D1" s="89"/>
      <c r="E1" s="89"/>
      <c r="F1" s="89"/>
      <c r="G1" s="89"/>
      <c r="H1" s="89"/>
      <c r="I1" s="89"/>
      <c r="J1" s="8"/>
      <c r="K1" s="8"/>
    </row>
    <row r="2" spans="1:13" ht="22" customHeight="1">
      <c r="A2" s="90" t="s">
        <v>3</v>
      </c>
      <c r="B2" s="91"/>
      <c r="C2" s="91"/>
      <c r="D2" s="91"/>
      <c r="E2" s="91"/>
      <c r="F2" s="91"/>
      <c r="G2" s="91"/>
      <c r="H2" s="91"/>
      <c r="I2" s="91"/>
      <c r="J2" s="8"/>
      <c r="K2" s="8"/>
    </row>
    <row r="3" spans="1:13" ht="26.25" customHeight="1">
      <c r="A3" s="93" t="s">
        <v>4</v>
      </c>
      <c r="B3" s="94"/>
      <c r="C3" s="94"/>
      <c r="D3" s="94"/>
      <c r="E3" s="94"/>
      <c r="F3" s="94"/>
      <c r="G3" s="94"/>
      <c r="H3" s="94"/>
      <c r="I3" s="94"/>
      <c r="J3" s="28"/>
      <c r="K3" s="28"/>
      <c r="L3" s="28"/>
      <c r="M3" s="28"/>
    </row>
    <row r="4" spans="1:13" ht="28" customHeight="1">
      <c r="A4" s="9" t="s">
        <v>0</v>
      </c>
      <c r="B4" s="9" t="s">
        <v>5</v>
      </c>
      <c r="C4" s="10" t="s">
        <v>6</v>
      </c>
      <c r="D4" s="9" t="s">
        <v>7</v>
      </c>
      <c r="E4" s="9" t="s">
        <v>8</v>
      </c>
      <c r="F4" s="9" t="s">
        <v>9</v>
      </c>
      <c r="G4" s="10" t="s">
        <v>10</v>
      </c>
      <c r="H4" s="9" t="s">
        <v>11</v>
      </c>
      <c r="I4" s="10" t="s">
        <v>1</v>
      </c>
    </row>
    <row r="5" spans="1:13" s="2" customFormat="1" ht="28" customHeight="1">
      <c r="A5" s="92" t="s">
        <v>12</v>
      </c>
      <c r="B5" s="92"/>
      <c r="C5" s="92"/>
      <c r="D5" s="92"/>
      <c r="E5" s="92"/>
      <c r="F5" s="92"/>
      <c r="G5" s="92"/>
      <c r="H5" s="92"/>
      <c r="I5" s="92"/>
    </row>
    <row r="6" spans="1:13">
      <c r="A6" s="50" t="s">
        <v>13</v>
      </c>
      <c r="B6" s="11" t="s">
        <v>289</v>
      </c>
      <c r="C6" s="11" t="s">
        <v>14</v>
      </c>
      <c r="D6" s="12"/>
      <c r="E6" s="12"/>
      <c r="F6" s="12"/>
      <c r="G6" s="12">
        <v>6</v>
      </c>
      <c r="H6" s="12" t="s">
        <v>342</v>
      </c>
      <c r="I6" s="12">
        <v>10</v>
      </c>
    </row>
    <row r="7" spans="1:13" ht="35" customHeight="1">
      <c r="A7" s="50" t="s">
        <v>15</v>
      </c>
      <c r="B7" s="11" t="s">
        <v>290</v>
      </c>
      <c r="C7" s="11" t="s">
        <v>14</v>
      </c>
      <c r="D7" s="12"/>
      <c r="E7" s="12"/>
      <c r="F7" s="12"/>
      <c r="G7" s="12">
        <v>12</v>
      </c>
      <c r="H7" s="59"/>
      <c r="I7" s="12"/>
    </row>
    <row r="8" spans="1:13" ht="35" customHeight="1">
      <c r="A8" s="50" t="s">
        <v>270</v>
      </c>
      <c r="B8" s="60" t="s">
        <v>271</v>
      </c>
      <c r="C8" s="11" t="s">
        <v>14</v>
      </c>
      <c r="D8" s="15"/>
      <c r="E8" s="15"/>
      <c r="F8" s="15"/>
      <c r="G8" s="15">
        <v>6</v>
      </c>
      <c r="H8" s="15"/>
      <c r="I8" s="15"/>
      <c r="M8" s="29"/>
    </row>
    <row r="9" spans="1:13" ht="35" customHeight="1">
      <c r="A9" s="50" t="s">
        <v>16</v>
      </c>
      <c r="B9" s="11" t="s">
        <v>291</v>
      </c>
      <c r="C9" s="11" t="s">
        <v>14</v>
      </c>
      <c r="D9" s="12"/>
      <c r="E9" s="12"/>
      <c r="F9" s="12"/>
      <c r="G9" s="12">
        <v>1</v>
      </c>
      <c r="H9" s="12"/>
      <c r="I9" s="12"/>
    </row>
    <row r="10" spans="1:13" ht="35" customHeight="1">
      <c r="A10" s="50" t="s">
        <v>17</v>
      </c>
      <c r="B10" s="11" t="s">
        <v>292</v>
      </c>
      <c r="C10" s="11" t="s">
        <v>14</v>
      </c>
      <c r="D10" s="12"/>
      <c r="E10" s="12"/>
      <c r="F10" s="12"/>
      <c r="G10" s="12">
        <v>2</v>
      </c>
      <c r="H10" s="12"/>
      <c r="I10" s="12"/>
    </row>
    <row r="11" spans="1:13" ht="35" customHeight="1">
      <c r="A11" s="50" t="s">
        <v>18</v>
      </c>
      <c r="B11" s="11" t="s">
        <v>293</v>
      </c>
      <c r="C11" s="11" t="s">
        <v>14</v>
      </c>
      <c r="D11" s="12"/>
      <c r="E11" s="12"/>
      <c r="F11" s="12"/>
      <c r="G11" s="12">
        <v>3</v>
      </c>
      <c r="H11" s="12"/>
      <c r="I11" s="12"/>
    </row>
    <row r="12" spans="1:13" ht="37" customHeight="1">
      <c r="A12" s="50" t="s">
        <v>286</v>
      </c>
      <c r="B12" s="11" t="s">
        <v>287</v>
      </c>
      <c r="C12" s="11" t="s">
        <v>14</v>
      </c>
      <c r="D12" s="15"/>
      <c r="E12" s="15"/>
      <c r="F12" s="15"/>
      <c r="G12" s="15">
        <v>3</v>
      </c>
      <c r="H12" s="15"/>
      <c r="I12" s="15"/>
      <c r="M12" s="29"/>
    </row>
    <row r="13" spans="1:13" ht="35" customHeight="1">
      <c r="A13" s="51" t="s">
        <v>19</v>
      </c>
      <c r="B13" s="11" t="s">
        <v>20</v>
      </c>
      <c r="C13" s="11" t="s">
        <v>14</v>
      </c>
      <c r="D13" s="12"/>
      <c r="E13" s="12"/>
      <c r="F13" s="12"/>
      <c r="G13" s="12">
        <v>4</v>
      </c>
      <c r="H13" s="12"/>
      <c r="I13" s="12"/>
    </row>
    <row r="14" spans="1:13" ht="35" customHeight="1">
      <c r="A14" s="50" t="s">
        <v>21</v>
      </c>
      <c r="B14" s="11" t="s">
        <v>308</v>
      </c>
      <c r="C14" s="11" t="s">
        <v>14</v>
      </c>
      <c r="D14" s="12"/>
      <c r="E14" s="12"/>
      <c r="F14" s="12"/>
      <c r="G14" s="12">
        <v>4</v>
      </c>
      <c r="H14" s="12"/>
      <c r="I14" s="12"/>
    </row>
    <row r="15" spans="1:13" ht="35" customHeight="1">
      <c r="A15" s="50" t="s">
        <v>24</v>
      </c>
      <c r="B15" s="11" t="s">
        <v>288</v>
      </c>
      <c r="C15" s="11" t="s">
        <v>14</v>
      </c>
      <c r="D15" s="12"/>
      <c r="E15" s="12"/>
      <c r="F15" s="12"/>
      <c r="G15" s="12">
        <v>5</v>
      </c>
      <c r="H15" s="12"/>
      <c r="I15" s="12"/>
    </row>
    <row r="16" spans="1:13" ht="35" customHeight="1">
      <c r="A16" s="50" t="s">
        <v>22</v>
      </c>
      <c r="B16" s="11" t="s">
        <v>23</v>
      </c>
      <c r="C16" s="11" t="s">
        <v>14</v>
      </c>
      <c r="D16" s="12"/>
      <c r="E16" s="12"/>
      <c r="F16" s="12"/>
      <c r="G16" s="12">
        <v>4</v>
      </c>
      <c r="H16" s="12"/>
      <c r="I16" s="12"/>
    </row>
    <row r="17" spans="1:13" ht="37" customHeight="1">
      <c r="A17" s="57" t="s">
        <v>264</v>
      </c>
      <c r="B17" s="60" t="s">
        <v>265</v>
      </c>
      <c r="C17" s="60" t="s">
        <v>14</v>
      </c>
      <c r="D17" s="15"/>
      <c r="E17" s="15"/>
      <c r="F17" s="15"/>
      <c r="G17" s="15">
        <v>6</v>
      </c>
      <c r="H17" s="15"/>
      <c r="I17" s="31"/>
      <c r="M17" s="29"/>
    </row>
    <row r="18" spans="1:13" ht="37" customHeight="1">
      <c r="A18" s="57" t="s">
        <v>266</v>
      </c>
      <c r="B18" s="60" t="s">
        <v>267</v>
      </c>
      <c r="C18" s="60" t="s">
        <v>14</v>
      </c>
      <c r="D18" s="15"/>
      <c r="E18" s="15"/>
      <c r="F18" s="15"/>
      <c r="G18" s="15">
        <v>3</v>
      </c>
      <c r="H18" s="15"/>
      <c r="I18" s="31"/>
      <c r="M18" s="29"/>
    </row>
    <row r="19" spans="1:13" ht="28" customHeight="1">
      <c r="A19" s="86" t="s">
        <v>25</v>
      </c>
      <c r="B19" s="87"/>
      <c r="C19" s="10" t="s">
        <v>6</v>
      </c>
      <c r="D19" s="9" t="s">
        <v>7</v>
      </c>
      <c r="E19" s="9" t="s">
        <v>8</v>
      </c>
      <c r="F19" s="9" t="s">
        <v>9</v>
      </c>
      <c r="G19" s="10" t="s">
        <v>10</v>
      </c>
      <c r="H19" s="9" t="s">
        <v>11</v>
      </c>
      <c r="I19" s="21" t="s">
        <v>1</v>
      </c>
    </row>
    <row r="20" spans="1:13" ht="35" customHeight="1">
      <c r="A20" s="11" t="s">
        <v>26</v>
      </c>
      <c r="B20" s="11" t="s">
        <v>27</v>
      </c>
      <c r="C20" s="11" t="s">
        <v>28</v>
      </c>
      <c r="D20" s="16"/>
      <c r="E20" s="12"/>
      <c r="F20" s="12"/>
      <c r="G20" s="12">
        <v>3</v>
      </c>
      <c r="H20" s="12"/>
      <c r="I20" s="65"/>
    </row>
    <row r="21" spans="1:13" ht="35" customHeight="1">
      <c r="A21" s="11" t="s">
        <v>334</v>
      </c>
      <c r="B21" s="73" t="s">
        <v>335</v>
      </c>
      <c r="C21" s="11" t="s">
        <v>28</v>
      </c>
      <c r="D21" s="71"/>
      <c r="E21" s="18"/>
      <c r="F21" s="18"/>
      <c r="G21" s="18">
        <v>34</v>
      </c>
      <c r="H21" s="18"/>
      <c r="I21" s="72"/>
    </row>
    <row r="22" spans="1:13" ht="35" customHeight="1">
      <c r="A22" s="11" t="s">
        <v>29</v>
      </c>
      <c r="B22" s="11" t="s">
        <v>294</v>
      </c>
      <c r="C22" s="11" t="s">
        <v>28</v>
      </c>
      <c r="D22" s="18"/>
      <c r="E22" s="18"/>
      <c r="F22" s="18"/>
      <c r="G22" s="18">
        <v>5</v>
      </c>
      <c r="H22" s="18"/>
      <c r="I22" s="18"/>
    </row>
    <row r="23" spans="1:13" ht="35" customHeight="1">
      <c r="A23" s="50" t="s">
        <v>30</v>
      </c>
      <c r="B23" s="11" t="s">
        <v>295</v>
      </c>
      <c r="C23" s="11" t="s">
        <v>28</v>
      </c>
      <c r="D23" s="14"/>
      <c r="E23" s="14"/>
      <c r="F23" s="14"/>
      <c r="G23" s="14">
        <v>1</v>
      </c>
      <c r="H23" s="14"/>
      <c r="I23" s="66"/>
    </row>
    <row r="24" spans="1:13" ht="28" customHeight="1">
      <c r="A24" s="86" t="s">
        <v>31</v>
      </c>
      <c r="B24" s="87"/>
      <c r="C24" s="19" t="s">
        <v>6</v>
      </c>
      <c r="D24" s="20" t="s">
        <v>7</v>
      </c>
      <c r="E24" s="20" t="s">
        <v>8</v>
      </c>
      <c r="F24" s="20" t="s">
        <v>9</v>
      </c>
      <c r="G24" s="21" t="s">
        <v>10</v>
      </c>
      <c r="H24" s="20" t="s">
        <v>11</v>
      </c>
      <c r="I24" s="21" t="s">
        <v>1</v>
      </c>
    </row>
    <row r="25" spans="1:13" ht="35" customHeight="1">
      <c r="A25" s="11" t="s">
        <v>32</v>
      </c>
      <c r="B25" s="11" t="s">
        <v>33</v>
      </c>
      <c r="C25" s="11" t="s">
        <v>34</v>
      </c>
      <c r="D25" s="12"/>
      <c r="E25" s="12"/>
      <c r="F25" s="12"/>
      <c r="G25" s="12"/>
      <c r="H25" s="12"/>
      <c r="I25" s="12"/>
    </row>
    <row r="26" spans="1:13" ht="35" customHeight="1">
      <c r="A26" s="50" t="s">
        <v>35</v>
      </c>
      <c r="B26" s="11" t="s">
        <v>340</v>
      </c>
      <c r="C26" s="11" t="s">
        <v>34</v>
      </c>
      <c r="D26" s="12"/>
      <c r="E26" s="12"/>
      <c r="F26" s="12"/>
      <c r="G26" s="12"/>
      <c r="H26" s="12"/>
      <c r="I26" s="12"/>
    </row>
    <row r="27" spans="1:13" ht="35" customHeight="1">
      <c r="A27" s="50" t="s">
        <v>330</v>
      </c>
      <c r="B27" s="11" t="s">
        <v>36</v>
      </c>
      <c r="C27" s="11" t="s">
        <v>34</v>
      </c>
      <c r="D27" s="12"/>
      <c r="E27" s="12"/>
      <c r="F27" s="12"/>
      <c r="G27" s="12"/>
      <c r="H27" s="12"/>
      <c r="I27" s="12"/>
    </row>
    <row r="28" spans="1:13" ht="35" customHeight="1">
      <c r="A28" s="11" t="s">
        <v>38</v>
      </c>
      <c r="B28" s="11" t="s">
        <v>309</v>
      </c>
      <c r="C28" s="11" t="s">
        <v>37</v>
      </c>
      <c r="D28" s="12"/>
      <c r="E28" s="12"/>
      <c r="F28" s="12"/>
      <c r="G28" s="12"/>
      <c r="H28" s="12"/>
      <c r="I28" s="12"/>
    </row>
    <row r="29" spans="1:13" ht="35" customHeight="1">
      <c r="A29" s="22" t="s">
        <v>39</v>
      </c>
      <c r="B29" s="22" t="s">
        <v>40</v>
      </c>
      <c r="C29" s="22" t="s">
        <v>34</v>
      </c>
      <c r="D29" s="23"/>
      <c r="E29" s="23"/>
      <c r="F29" s="23"/>
      <c r="G29" s="23"/>
      <c r="H29" s="23"/>
      <c r="I29" s="23"/>
    </row>
    <row r="30" spans="1:13" ht="35" customHeight="1">
      <c r="A30" s="11" t="s">
        <v>41</v>
      </c>
      <c r="B30" s="11" t="s">
        <v>310</v>
      </c>
      <c r="C30" s="11" t="s">
        <v>42</v>
      </c>
      <c r="D30" s="12"/>
      <c r="E30" s="12"/>
      <c r="F30" s="12"/>
      <c r="G30" s="12"/>
      <c r="H30" s="12"/>
      <c r="I30" s="12"/>
    </row>
    <row r="31" spans="1:13" ht="35" customHeight="1">
      <c r="A31" s="11" t="s">
        <v>43</v>
      </c>
      <c r="B31" s="11" t="s">
        <v>44</v>
      </c>
      <c r="C31" s="11" t="s">
        <v>45</v>
      </c>
      <c r="D31" s="12"/>
      <c r="E31" s="12"/>
      <c r="F31" s="12"/>
      <c r="G31" s="12"/>
      <c r="H31" s="12"/>
      <c r="I31" s="12"/>
    </row>
    <row r="32" spans="1:13" ht="35" customHeight="1">
      <c r="A32" s="11" t="s">
        <v>46</v>
      </c>
      <c r="B32" s="11" t="s">
        <v>47</v>
      </c>
      <c r="C32" s="11" t="s">
        <v>48</v>
      </c>
      <c r="D32" s="12"/>
      <c r="E32" s="12"/>
      <c r="F32" s="12"/>
      <c r="G32" s="12"/>
      <c r="H32" s="12"/>
      <c r="I32" s="12"/>
    </row>
    <row r="33" spans="1:13" ht="27.75" customHeight="1">
      <c r="A33" s="86" t="s">
        <v>49</v>
      </c>
      <c r="B33" s="87"/>
      <c r="C33" s="19" t="s">
        <v>6</v>
      </c>
      <c r="D33" s="20" t="s">
        <v>7</v>
      </c>
      <c r="E33" s="20" t="s">
        <v>8</v>
      </c>
      <c r="F33" s="20" t="s">
        <v>9</v>
      </c>
      <c r="G33" s="21" t="s">
        <v>10</v>
      </c>
      <c r="H33" s="20" t="s">
        <v>11</v>
      </c>
      <c r="I33" s="21" t="s">
        <v>1</v>
      </c>
    </row>
    <row r="34" spans="1:13" ht="35" customHeight="1">
      <c r="A34" s="52" t="s">
        <v>50</v>
      </c>
      <c r="B34" s="11" t="s">
        <v>51</v>
      </c>
      <c r="C34" s="11" t="s">
        <v>28</v>
      </c>
      <c r="D34" s="14"/>
      <c r="E34" s="14"/>
      <c r="F34" s="14"/>
      <c r="G34" s="14"/>
      <c r="H34" s="14"/>
      <c r="I34" s="66"/>
    </row>
    <row r="35" spans="1:13" ht="35" customHeight="1">
      <c r="A35" s="50" t="s">
        <v>52</v>
      </c>
      <c r="B35" s="11" t="s">
        <v>53</v>
      </c>
      <c r="C35" s="11" t="s">
        <v>28</v>
      </c>
      <c r="D35" s="14"/>
      <c r="E35" s="14"/>
      <c r="F35" s="14"/>
      <c r="G35" s="14"/>
      <c r="H35" s="14"/>
      <c r="I35" s="14"/>
    </row>
    <row r="36" spans="1:13" ht="35" customHeight="1">
      <c r="A36" s="22" t="s">
        <v>54</v>
      </c>
      <c r="B36" s="22" t="s">
        <v>311</v>
      </c>
      <c r="C36" s="22" t="s">
        <v>28</v>
      </c>
      <c r="D36" s="24"/>
      <c r="E36" s="24"/>
      <c r="F36" s="24"/>
      <c r="G36" s="24"/>
      <c r="H36" s="24"/>
      <c r="I36" s="67"/>
    </row>
    <row r="37" spans="1:13" ht="35" customHeight="1">
      <c r="A37" s="51" t="s">
        <v>55</v>
      </c>
      <c r="B37" s="13" t="s">
        <v>312</v>
      </c>
      <c r="C37" s="11" t="s">
        <v>28</v>
      </c>
      <c r="D37" s="14"/>
      <c r="E37" s="14"/>
      <c r="F37" s="14"/>
      <c r="G37" s="14"/>
      <c r="H37" s="14"/>
      <c r="I37" s="14"/>
    </row>
    <row r="38" spans="1:13" ht="35" customHeight="1">
      <c r="A38" s="11" t="s">
        <v>56</v>
      </c>
      <c r="B38" s="11" t="s">
        <v>313</v>
      </c>
      <c r="C38" s="11" t="s">
        <v>28</v>
      </c>
      <c r="D38" s="14"/>
      <c r="E38" s="14"/>
      <c r="F38" s="14"/>
      <c r="G38" s="14"/>
      <c r="H38" s="14"/>
      <c r="I38" s="14"/>
    </row>
    <row r="39" spans="1:13" ht="35" customHeight="1">
      <c r="A39" s="50" t="s">
        <v>57</v>
      </c>
      <c r="B39" s="11" t="s">
        <v>58</v>
      </c>
      <c r="C39" s="11" t="s">
        <v>59</v>
      </c>
      <c r="D39" s="14"/>
      <c r="E39" s="14"/>
      <c r="F39" s="14"/>
      <c r="G39" s="14"/>
      <c r="H39" s="14"/>
      <c r="I39" s="14"/>
    </row>
    <row r="40" spans="1:13" ht="35" customHeight="1">
      <c r="A40" s="57" t="s">
        <v>263</v>
      </c>
      <c r="B40" s="60" t="s">
        <v>262</v>
      </c>
      <c r="C40" s="11" t="s">
        <v>45</v>
      </c>
      <c r="D40" s="14"/>
      <c r="E40" s="14"/>
      <c r="F40" s="14"/>
      <c r="G40" s="14"/>
      <c r="H40" s="14"/>
      <c r="I40" s="14"/>
    </row>
    <row r="41" spans="1:13" ht="35" customHeight="1">
      <c r="A41" s="22" t="s">
        <v>60</v>
      </c>
      <c r="B41" s="22" t="s">
        <v>61</v>
      </c>
      <c r="C41" s="22" t="s">
        <v>45</v>
      </c>
      <c r="D41" s="24"/>
      <c r="E41" s="24"/>
      <c r="F41" s="24"/>
      <c r="G41" s="24"/>
      <c r="H41" s="24"/>
      <c r="I41" s="24"/>
    </row>
    <row r="42" spans="1:13" ht="35" customHeight="1">
      <c r="A42" s="50" t="s">
        <v>62</v>
      </c>
      <c r="B42" s="11" t="s">
        <v>63</v>
      </c>
      <c r="C42" s="11" t="s">
        <v>45</v>
      </c>
      <c r="D42" s="14"/>
      <c r="E42" s="14"/>
      <c r="F42" s="14"/>
      <c r="G42" s="14"/>
      <c r="H42" s="14"/>
      <c r="I42" s="14"/>
    </row>
    <row r="43" spans="1:13" ht="35" customHeight="1">
      <c r="A43" s="53" t="s">
        <v>64</v>
      </c>
      <c r="B43" s="22" t="s">
        <v>65</v>
      </c>
      <c r="C43" s="22" t="s">
        <v>45</v>
      </c>
      <c r="D43" s="24"/>
      <c r="E43" s="24"/>
      <c r="F43" s="24"/>
      <c r="G43" s="24"/>
      <c r="H43" s="24"/>
      <c r="I43" s="24"/>
    </row>
    <row r="44" spans="1:13" ht="35" customHeight="1">
      <c r="A44" s="11" t="s">
        <v>66</v>
      </c>
      <c r="B44" s="11" t="s">
        <v>67</v>
      </c>
      <c r="C44" s="11" t="s">
        <v>45</v>
      </c>
      <c r="D44" s="14"/>
      <c r="E44" s="14"/>
      <c r="F44" s="14"/>
      <c r="G44" s="14"/>
      <c r="H44" s="14"/>
      <c r="I44" s="14"/>
    </row>
    <row r="45" spans="1:13" ht="35" customHeight="1">
      <c r="A45" s="11" t="s">
        <v>68</v>
      </c>
      <c r="B45" s="11" t="s">
        <v>69</v>
      </c>
      <c r="C45" s="11" t="s">
        <v>34</v>
      </c>
      <c r="D45" s="14"/>
      <c r="E45" s="14"/>
      <c r="F45" s="14"/>
      <c r="G45" s="14"/>
      <c r="H45" s="14"/>
      <c r="I45" s="14"/>
    </row>
    <row r="46" spans="1:13" ht="35" customHeight="1">
      <c r="A46" s="50" t="s">
        <v>70</v>
      </c>
      <c r="B46" s="11" t="s">
        <v>71</v>
      </c>
      <c r="C46" s="11" t="s">
        <v>72</v>
      </c>
      <c r="D46" s="14"/>
      <c r="E46" s="14"/>
      <c r="F46" s="14"/>
      <c r="G46" s="14"/>
      <c r="H46" s="14"/>
      <c r="I46" s="14"/>
    </row>
    <row r="47" spans="1:13" ht="35" customHeight="1">
      <c r="A47" s="50" t="s">
        <v>73</v>
      </c>
      <c r="B47" s="11" t="s">
        <v>74</v>
      </c>
      <c r="C47" s="11" t="s">
        <v>28</v>
      </c>
      <c r="D47" s="14"/>
      <c r="E47" s="14"/>
      <c r="F47" s="14"/>
      <c r="G47" s="14"/>
      <c r="H47" s="14"/>
      <c r="I47" s="14"/>
    </row>
    <row r="48" spans="1:13" ht="35" customHeight="1">
      <c r="A48" s="54" t="s">
        <v>75</v>
      </c>
      <c r="B48" s="25" t="s">
        <v>305</v>
      </c>
      <c r="C48" s="25" t="s">
        <v>72</v>
      </c>
      <c r="D48" s="26"/>
      <c r="E48" s="26"/>
      <c r="F48" s="26"/>
      <c r="G48" s="26"/>
      <c r="H48" s="26"/>
      <c r="I48" s="14"/>
      <c r="M48" s="29"/>
    </row>
    <row r="49" spans="1:13" ht="35" customHeight="1">
      <c r="A49" s="54" t="s">
        <v>329</v>
      </c>
      <c r="B49" s="25" t="s">
        <v>304</v>
      </c>
      <c r="C49" s="25" t="s">
        <v>72</v>
      </c>
      <c r="D49" s="27"/>
      <c r="E49" s="27"/>
      <c r="F49" s="27"/>
      <c r="G49" s="27"/>
      <c r="H49" s="27"/>
      <c r="I49" s="14"/>
      <c r="M49" s="29"/>
    </row>
    <row r="50" spans="1:13" ht="35" customHeight="1">
      <c r="A50" s="79" t="s">
        <v>76</v>
      </c>
      <c r="B50" s="80"/>
      <c r="C50" s="19" t="s">
        <v>6</v>
      </c>
      <c r="D50" s="20" t="s">
        <v>7</v>
      </c>
      <c r="E50" s="20" t="s">
        <v>8</v>
      </c>
      <c r="F50" s="20" t="s">
        <v>9</v>
      </c>
      <c r="G50" s="21" t="s">
        <v>10</v>
      </c>
      <c r="H50" s="20" t="s">
        <v>11</v>
      </c>
      <c r="I50" s="21" t="s">
        <v>1</v>
      </c>
    </row>
    <row r="51" spans="1:13" ht="35" customHeight="1">
      <c r="A51" s="50" t="s">
        <v>77</v>
      </c>
      <c r="B51" s="11" t="s">
        <v>303</v>
      </c>
      <c r="C51" s="11" t="s">
        <v>28</v>
      </c>
      <c r="D51" s="14"/>
      <c r="E51" s="14"/>
      <c r="F51" s="14"/>
      <c r="G51" s="14"/>
      <c r="H51" s="14"/>
      <c r="I51" s="66"/>
    </row>
    <row r="52" spans="1:13">
      <c r="A52" s="50" t="s">
        <v>78</v>
      </c>
      <c r="B52" s="11" t="s">
        <v>79</v>
      </c>
      <c r="C52" s="11" t="s">
        <v>28</v>
      </c>
      <c r="D52" s="12"/>
      <c r="E52" s="12"/>
      <c r="F52" s="12"/>
      <c r="G52" s="12"/>
      <c r="H52" s="12"/>
      <c r="I52" s="14"/>
    </row>
    <row r="53" spans="1:13" ht="35" customHeight="1">
      <c r="A53" s="60" t="s">
        <v>260</v>
      </c>
      <c r="B53" s="11" t="s">
        <v>314</v>
      </c>
      <c r="C53" s="11" t="s">
        <v>28</v>
      </c>
      <c r="D53" s="12"/>
      <c r="E53" s="12"/>
      <c r="F53" s="12"/>
      <c r="G53" s="12"/>
      <c r="H53" s="59"/>
      <c r="I53" s="68"/>
    </row>
    <row r="54" spans="1:13" ht="35" customHeight="1">
      <c r="A54" s="61" t="s">
        <v>261</v>
      </c>
      <c r="B54" s="11" t="s">
        <v>315</v>
      </c>
      <c r="C54" s="11" t="s">
        <v>28</v>
      </c>
      <c r="D54" s="12"/>
      <c r="E54" s="12"/>
      <c r="F54" s="12"/>
      <c r="G54" s="12"/>
      <c r="H54" s="59"/>
      <c r="I54" s="68"/>
    </row>
    <row r="55" spans="1:13" ht="35" customHeight="1">
      <c r="A55" s="12" t="s">
        <v>274</v>
      </c>
      <c r="B55" s="12" t="s">
        <v>275</v>
      </c>
      <c r="C55" s="12" t="s">
        <v>28</v>
      </c>
      <c r="D55" s="18"/>
      <c r="E55" s="18"/>
      <c r="F55" s="18"/>
      <c r="G55" s="18"/>
      <c r="H55" s="18"/>
      <c r="I55" s="69"/>
      <c r="M55" s="29"/>
    </row>
    <row r="56" spans="1:13" ht="35" customHeight="1">
      <c r="A56" s="12" t="s">
        <v>272</v>
      </c>
      <c r="B56" s="12" t="s">
        <v>273</v>
      </c>
      <c r="C56" s="12" t="s">
        <v>28</v>
      </c>
      <c r="D56" s="18"/>
      <c r="E56" s="18"/>
      <c r="F56" s="18"/>
      <c r="G56" s="18"/>
      <c r="H56" s="18"/>
      <c r="I56" s="69"/>
      <c r="M56" s="29"/>
    </row>
    <row r="57" spans="1:13" ht="35" customHeight="1">
      <c r="A57" s="12" t="s">
        <v>298</v>
      </c>
      <c r="B57" s="12" t="s">
        <v>299</v>
      </c>
      <c r="C57" s="12" t="s">
        <v>34</v>
      </c>
      <c r="D57" s="18"/>
      <c r="E57" s="18"/>
      <c r="F57" s="18"/>
      <c r="G57" s="18"/>
      <c r="H57" s="18"/>
      <c r="I57" s="69"/>
      <c r="M57" s="29"/>
    </row>
    <row r="58" spans="1:13" ht="35" customHeight="1">
      <c r="A58" s="12" t="s">
        <v>324</v>
      </c>
      <c r="B58" s="12" t="s">
        <v>325</v>
      </c>
      <c r="C58" s="12" t="s">
        <v>331</v>
      </c>
      <c r="D58" s="18"/>
      <c r="E58" s="18"/>
      <c r="F58" s="18"/>
      <c r="G58" s="18"/>
      <c r="H58" s="18"/>
      <c r="I58" s="69"/>
      <c r="M58" s="29"/>
    </row>
    <row r="59" spans="1:13" ht="28" customHeight="1">
      <c r="A59" s="79" t="s">
        <v>80</v>
      </c>
      <c r="B59" s="80"/>
      <c r="C59" s="19" t="s">
        <v>6</v>
      </c>
      <c r="D59" s="20" t="s">
        <v>7</v>
      </c>
      <c r="E59" s="20" t="s">
        <v>8</v>
      </c>
      <c r="F59" s="20" t="s">
        <v>9</v>
      </c>
      <c r="G59" s="21" t="s">
        <v>10</v>
      </c>
      <c r="H59" s="20" t="s">
        <v>11</v>
      </c>
      <c r="I59" s="21" t="s">
        <v>1</v>
      </c>
    </row>
    <row r="60" spans="1:13" ht="35" customHeight="1">
      <c r="A60" s="11" t="s">
        <v>81</v>
      </c>
      <c r="B60" s="11" t="s">
        <v>82</v>
      </c>
      <c r="C60" s="11" t="s">
        <v>72</v>
      </c>
      <c r="D60" s="14"/>
      <c r="E60" s="14"/>
      <c r="F60" s="14"/>
      <c r="G60" s="14"/>
      <c r="H60" s="14"/>
      <c r="I60" s="14"/>
    </row>
    <row r="61" spans="1:13" ht="35" customHeight="1">
      <c r="A61" s="11" t="s">
        <v>83</v>
      </c>
      <c r="B61" s="11" t="s">
        <v>84</v>
      </c>
      <c r="C61" s="11" t="s">
        <v>72</v>
      </c>
      <c r="D61" s="14"/>
      <c r="E61" s="14"/>
      <c r="F61" s="14"/>
      <c r="G61" s="14"/>
      <c r="H61" s="14"/>
      <c r="I61" s="14"/>
    </row>
    <row r="62" spans="1:13" ht="35" customHeight="1">
      <c r="A62" s="11" t="s">
        <v>85</v>
      </c>
      <c r="B62" s="11" t="s">
        <v>86</v>
      </c>
      <c r="C62" s="11" t="s">
        <v>72</v>
      </c>
      <c r="D62" s="14"/>
      <c r="E62" s="14"/>
      <c r="F62" s="14"/>
      <c r="G62" s="14"/>
      <c r="H62" s="14"/>
      <c r="I62" s="14"/>
    </row>
    <row r="63" spans="1:13" ht="35" customHeight="1">
      <c r="A63" s="11" t="s">
        <v>87</v>
      </c>
      <c r="B63" s="11" t="s">
        <v>88</v>
      </c>
      <c r="C63" s="11" t="s">
        <v>72</v>
      </c>
      <c r="D63" s="14"/>
      <c r="E63" s="14"/>
      <c r="F63" s="14"/>
      <c r="G63" s="14"/>
      <c r="H63" s="14"/>
      <c r="I63" s="14"/>
    </row>
    <row r="64" spans="1:13" ht="35" customHeight="1">
      <c r="A64" s="50" t="s">
        <v>89</v>
      </c>
      <c r="B64" s="11" t="s">
        <v>90</v>
      </c>
      <c r="C64" s="11" t="s">
        <v>72</v>
      </c>
      <c r="D64" s="30"/>
      <c r="E64" s="30"/>
      <c r="F64" s="30"/>
      <c r="G64" s="30"/>
      <c r="H64" s="30"/>
      <c r="I64" s="14"/>
    </row>
    <row r="65" spans="1:13" ht="28" customHeight="1">
      <c r="A65" s="79" t="s">
        <v>91</v>
      </c>
      <c r="B65" s="80"/>
      <c r="C65" s="19" t="s">
        <v>6</v>
      </c>
      <c r="D65" s="20" t="s">
        <v>7</v>
      </c>
      <c r="E65" s="20" t="s">
        <v>8</v>
      </c>
      <c r="F65" s="20" t="s">
        <v>9</v>
      </c>
      <c r="G65" s="21" t="s">
        <v>10</v>
      </c>
      <c r="H65" s="20" t="s">
        <v>11</v>
      </c>
      <c r="I65" s="21" t="s">
        <v>1</v>
      </c>
    </row>
    <row r="66" spans="1:13" ht="35" customHeight="1">
      <c r="A66" s="50" t="s">
        <v>92</v>
      </c>
      <c r="B66" s="11" t="s">
        <v>93</v>
      </c>
      <c r="C66" s="11" t="s">
        <v>28</v>
      </c>
      <c r="D66" s="14"/>
      <c r="E66" s="14"/>
      <c r="F66" s="14"/>
      <c r="G66" s="14"/>
      <c r="H66" s="14"/>
      <c r="I66" s="14"/>
    </row>
    <row r="67" spans="1:13" ht="35" customHeight="1">
      <c r="A67" s="50" t="s">
        <v>94</v>
      </c>
      <c r="B67" s="11" t="s">
        <v>95</v>
      </c>
      <c r="C67" s="11" t="s">
        <v>28</v>
      </c>
      <c r="D67" s="14"/>
      <c r="E67" s="14"/>
      <c r="F67" s="14"/>
      <c r="G67" s="14"/>
      <c r="H67" s="14"/>
      <c r="I67" s="14"/>
    </row>
    <row r="68" spans="1:13" ht="35" customHeight="1">
      <c r="A68" s="50" t="s">
        <v>96</v>
      </c>
      <c r="B68" s="11" t="s">
        <v>97</v>
      </c>
      <c r="C68" s="11" t="s">
        <v>28</v>
      </c>
      <c r="D68" s="14"/>
      <c r="E68" s="14"/>
      <c r="F68" s="14"/>
      <c r="G68" s="14"/>
      <c r="H68" s="14"/>
      <c r="I68" s="14"/>
    </row>
    <row r="69" spans="1:13" ht="28" customHeight="1">
      <c r="A69" s="77" t="s">
        <v>98</v>
      </c>
      <c r="B69" s="78"/>
      <c r="C69" s="19" t="s">
        <v>6</v>
      </c>
      <c r="D69" s="20" t="s">
        <v>7</v>
      </c>
      <c r="E69" s="20" t="s">
        <v>8</v>
      </c>
      <c r="F69" s="20" t="s">
        <v>9</v>
      </c>
      <c r="G69" s="21" t="s">
        <v>10</v>
      </c>
      <c r="H69" s="20" t="s">
        <v>11</v>
      </c>
      <c r="I69" s="21" t="s">
        <v>1</v>
      </c>
    </row>
    <row r="70" spans="1:13" ht="35" customHeight="1">
      <c r="A70" s="11" t="s">
        <v>99</v>
      </c>
      <c r="B70" s="11" t="s">
        <v>100</v>
      </c>
      <c r="C70" s="11" t="s">
        <v>37</v>
      </c>
      <c r="D70" s="12"/>
      <c r="E70" s="12"/>
      <c r="F70" s="12"/>
      <c r="G70" s="12"/>
      <c r="H70" s="12"/>
      <c r="I70" s="14"/>
    </row>
    <row r="71" spans="1:13" ht="35" customHeight="1">
      <c r="A71" s="11" t="s">
        <v>101</v>
      </c>
      <c r="B71" s="11" t="s">
        <v>102</v>
      </c>
      <c r="C71" s="11" t="s">
        <v>37</v>
      </c>
      <c r="D71" s="12"/>
      <c r="E71" s="12"/>
      <c r="F71" s="12"/>
      <c r="G71" s="12"/>
      <c r="H71" s="12"/>
      <c r="I71" s="14"/>
    </row>
    <row r="72" spans="1:13" ht="35" customHeight="1">
      <c r="A72" s="11" t="s">
        <v>103</v>
      </c>
      <c r="B72" s="11" t="s">
        <v>104</v>
      </c>
      <c r="C72" s="11" t="s">
        <v>37</v>
      </c>
      <c r="D72" s="12"/>
      <c r="E72" s="12"/>
      <c r="F72" s="12"/>
      <c r="G72" s="12"/>
      <c r="H72" s="12"/>
      <c r="I72" s="14"/>
    </row>
    <row r="73" spans="1:13" ht="35" customHeight="1">
      <c r="A73" s="11" t="s">
        <v>105</v>
      </c>
      <c r="B73" s="11" t="s">
        <v>300</v>
      </c>
      <c r="C73" s="11" t="s">
        <v>37</v>
      </c>
      <c r="D73" s="14"/>
      <c r="E73" s="14"/>
      <c r="F73" s="14"/>
      <c r="G73" s="14"/>
      <c r="H73" s="14"/>
      <c r="I73" s="14"/>
    </row>
    <row r="74" spans="1:13" ht="35" customHeight="1">
      <c r="A74" s="50" t="s">
        <v>106</v>
      </c>
      <c r="B74" s="11" t="s">
        <v>107</v>
      </c>
      <c r="C74" s="11" t="s">
        <v>37</v>
      </c>
      <c r="D74" s="12"/>
      <c r="E74" s="12"/>
      <c r="F74" s="12"/>
      <c r="G74" s="12"/>
      <c r="H74" s="12"/>
      <c r="I74" s="14"/>
    </row>
    <row r="75" spans="1:13" ht="35" customHeight="1">
      <c r="A75" s="50" t="s">
        <v>108</v>
      </c>
      <c r="B75" s="11" t="s">
        <v>109</v>
      </c>
      <c r="C75" s="11" t="s">
        <v>37</v>
      </c>
      <c r="D75" s="12"/>
      <c r="E75" s="12"/>
      <c r="F75" s="12"/>
      <c r="G75" s="12"/>
      <c r="H75" s="12"/>
      <c r="I75" s="14"/>
    </row>
    <row r="76" spans="1:13" ht="35" customHeight="1">
      <c r="A76" s="55" t="s">
        <v>276</v>
      </c>
      <c r="B76" s="17" t="s">
        <v>277</v>
      </c>
      <c r="C76" s="11" t="s">
        <v>37</v>
      </c>
      <c r="D76" s="18"/>
      <c r="E76" s="18"/>
      <c r="F76" s="18"/>
      <c r="G76" s="18"/>
      <c r="H76" s="18"/>
      <c r="I76" s="30"/>
      <c r="M76" s="29"/>
    </row>
    <row r="77" spans="1:13" ht="35" customHeight="1">
      <c r="A77" s="12" t="s">
        <v>110</v>
      </c>
      <c r="B77" s="12" t="s">
        <v>296</v>
      </c>
      <c r="C77" s="11" t="s">
        <v>37</v>
      </c>
      <c r="D77" s="12"/>
      <c r="E77" s="12"/>
      <c r="F77" s="12"/>
      <c r="G77" s="12"/>
      <c r="H77" s="12"/>
      <c r="I77" s="12"/>
      <c r="M77" s="29"/>
    </row>
    <row r="78" spans="1:13" ht="35" customHeight="1">
      <c r="A78" s="50" t="s">
        <v>111</v>
      </c>
      <c r="B78" s="11" t="s">
        <v>297</v>
      </c>
      <c r="C78" s="11" t="s">
        <v>37</v>
      </c>
      <c r="D78" s="12"/>
      <c r="E78" s="12"/>
      <c r="F78" s="12"/>
      <c r="G78" s="12"/>
      <c r="H78" s="12"/>
      <c r="I78" s="14"/>
      <c r="M78" s="29"/>
    </row>
    <row r="79" spans="1:13" ht="28" customHeight="1">
      <c r="A79" s="79" t="s">
        <v>112</v>
      </c>
      <c r="B79" s="80"/>
      <c r="C79" s="19" t="s">
        <v>6</v>
      </c>
      <c r="D79" s="20" t="s">
        <v>7</v>
      </c>
      <c r="E79" s="20" t="s">
        <v>8</v>
      </c>
      <c r="F79" s="20" t="s">
        <v>9</v>
      </c>
      <c r="G79" s="21" t="s">
        <v>10</v>
      </c>
      <c r="H79" s="20" t="s">
        <v>11</v>
      </c>
      <c r="I79" s="21" t="s">
        <v>1</v>
      </c>
    </row>
    <row r="80" spans="1:13" ht="35" customHeight="1">
      <c r="A80" s="50" t="s">
        <v>113</v>
      </c>
      <c r="B80" s="11" t="s">
        <v>341</v>
      </c>
      <c r="C80" s="11" t="s">
        <v>28</v>
      </c>
      <c r="D80" s="14"/>
      <c r="E80" s="14"/>
      <c r="F80" s="14"/>
      <c r="G80" s="14"/>
      <c r="H80" s="14"/>
      <c r="I80" s="14"/>
    </row>
    <row r="81" spans="1:13" s="2" customFormat="1" ht="35" customHeight="1">
      <c r="A81" s="50" t="s">
        <v>114</v>
      </c>
      <c r="B81" s="11" t="s">
        <v>115</v>
      </c>
      <c r="C81" s="11" t="s">
        <v>28</v>
      </c>
      <c r="D81" s="14"/>
      <c r="E81" s="14"/>
      <c r="F81" s="14"/>
      <c r="G81" s="14"/>
      <c r="H81" s="14"/>
      <c r="I81" s="14"/>
    </row>
    <row r="82" spans="1:13" ht="28" customHeight="1">
      <c r="A82" s="79" t="s">
        <v>116</v>
      </c>
      <c r="B82" s="80"/>
      <c r="C82" s="19" t="s">
        <v>6</v>
      </c>
      <c r="D82" s="20" t="s">
        <v>7</v>
      </c>
      <c r="E82" s="20" t="s">
        <v>8</v>
      </c>
      <c r="F82" s="20" t="s">
        <v>9</v>
      </c>
      <c r="G82" s="21" t="s">
        <v>10</v>
      </c>
      <c r="H82" s="20" t="s">
        <v>11</v>
      </c>
      <c r="I82" s="21" t="s">
        <v>1</v>
      </c>
    </row>
    <row r="83" spans="1:13">
      <c r="A83" s="50" t="s">
        <v>117</v>
      </c>
      <c r="B83" s="11" t="s">
        <v>118</v>
      </c>
      <c r="C83" s="11" t="s">
        <v>14</v>
      </c>
      <c r="D83" s="12"/>
      <c r="E83" s="12"/>
      <c r="F83" s="12"/>
      <c r="G83" s="12"/>
      <c r="H83" s="12"/>
      <c r="I83" s="14"/>
    </row>
    <row r="84" spans="1:13" ht="35" customHeight="1">
      <c r="A84" s="55" t="s">
        <v>144</v>
      </c>
      <c r="B84" s="17" t="s">
        <v>302</v>
      </c>
      <c r="C84" s="11" t="s">
        <v>14</v>
      </c>
      <c r="D84" s="31"/>
      <c r="E84" s="31"/>
      <c r="F84" s="31"/>
      <c r="G84" s="31"/>
      <c r="H84" s="31"/>
      <c r="I84" s="14"/>
      <c r="M84" s="29"/>
    </row>
    <row r="85" spans="1:13" ht="35" customHeight="1">
      <c r="A85" s="50" t="s">
        <v>119</v>
      </c>
      <c r="B85" s="11" t="s">
        <v>120</v>
      </c>
      <c r="C85" s="11" t="s">
        <v>14</v>
      </c>
      <c r="D85" s="15"/>
      <c r="E85" s="15"/>
      <c r="F85" s="15"/>
      <c r="G85" s="15"/>
      <c r="H85" s="15"/>
      <c r="I85" s="14"/>
    </row>
    <row r="86" spans="1:13" ht="35" customHeight="1">
      <c r="A86" s="50" t="s">
        <v>121</v>
      </c>
      <c r="B86" s="11" t="s">
        <v>122</v>
      </c>
      <c r="C86" s="11" t="s">
        <v>14</v>
      </c>
      <c r="D86" s="15"/>
      <c r="E86" s="15"/>
      <c r="F86" s="15"/>
      <c r="G86" s="15"/>
      <c r="H86" s="15"/>
      <c r="I86" s="14"/>
    </row>
    <row r="87" spans="1:13" ht="35" customHeight="1">
      <c r="A87" s="50" t="s">
        <v>123</v>
      </c>
      <c r="B87" s="11" t="s">
        <v>124</v>
      </c>
      <c r="C87" s="11" t="s">
        <v>14</v>
      </c>
      <c r="D87" s="15"/>
      <c r="E87" s="15"/>
      <c r="F87" s="15"/>
      <c r="G87" s="15"/>
      <c r="H87" s="15"/>
      <c r="I87" s="14"/>
    </row>
    <row r="88" spans="1:13" ht="35" customHeight="1">
      <c r="A88" s="50" t="s">
        <v>125</v>
      </c>
      <c r="B88" s="11" t="s">
        <v>301</v>
      </c>
      <c r="C88" s="11" t="s">
        <v>14</v>
      </c>
      <c r="D88" s="15"/>
      <c r="E88" s="15"/>
      <c r="F88" s="15"/>
      <c r="G88" s="15"/>
      <c r="H88" s="15"/>
      <c r="I88" s="14"/>
    </row>
    <row r="89" spans="1:13" ht="35" customHeight="1">
      <c r="A89" s="11" t="s">
        <v>126</v>
      </c>
      <c r="B89" s="11" t="s">
        <v>127</v>
      </c>
      <c r="C89" s="11" t="s">
        <v>14</v>
      </c>
      <c r="D89" s="15"/>
      <c r="E89" s="15"/>
      <c r="F89" s="15"/>
      <c r="G89" s="15"/>
      <c r="H89" s="15"/>
      <c r="I89" s="14"/>
    </row>
    <row r="90" spans="1:13" ht="35" customHeight="1">
      <c r="A90" s="11" t="s">
        <v>128</v>
      </c>
      <c r="B90" s="11" t="s">
        <v>129</v>
      </c>
      <c r="C90" s="11" t="s">
        <v>14</v>
      </c>
      <c r="D90" s="15"/>
      <c r="E90" s="15"/>
      <c r="F90" s="15"/>
      <c r="G90" s="15"/>
      <c r="H90" s="15"/>
      <c r="I90" s="14"/>
    </row>
    <row r="91" spans="1:13" ht="35" customHeight="1">
      <c r="A91" s="50" t="s">
        <v>130</v>
      </c>
      <c r="B91" s="11" t="s">
        <v>131</v>
      </c>
      <c r="C91" s="11" t="s">
        <v>14</v>
      </c>
      <c r="D91" s="15"/>
      <c r="E91" s="15"/>
      <c r="F91" s="15"/>
      <c r="G91" s="15"/>
      <c r="H91" s="15"/>
      <c r="I91" s="14"/>
      <c r="M91" s="29"/>
    </row>
    <row r="92" spans="1:13" ht="35" customHeight="1">
      <c r="A92" s="50" t="s">
        <v>132</v>
      </c>
      <c r="B92" s="11" t="s">
        <v>133</v>
      </c>
      <c r="C92" s="11" t="s">
        <v>14</v>
      </c>
      <c r="D92" s="15"/>
      <c r="E92" s="15"/>
      <c r="F92" s="15"/>
      <c r="G92" s="15"/>
      <c r="H92" s="15"/>
      <c r="I92" s="14"/>
      <c r="M92" s="29"/>
    </row>
    <row r="93" spans="1:13" ht="35" customHeight="1">
      <c r="A93" s="50" t="s">
        <v>134</v>
      </c>
      <c r="B93" s="11" t="s">
        <v>135</v>
      </c>
      <c r="C93" s="11" t="s">
        <v>14</v>
      </c>
      <c r="D93" s="15"/>
      <c r="E93" s="15"/>
      <c r="F93" s="15"/>
      <c r="G93" s="15"/>
      <c r="H93" s="15"/>
      <c r="I93" s="14"/>
      <c r="M93" s="29"/>
    </row>
    <row r="94" spans="1:13" ht="35" customHeight="1">
      <c r="A94" s="50" t="s">
        <v>136</v>
      </c>
      <c r="B94" s="11" t="s">
        <v>137</v>
      </c>
      <c r="C94" s="11" t="s">
        <v>14</v>
      </c>
      <c r="D94" s="15"/>
      <c r="E94" s="15"/>
      <c r="F94" s="15"/>
      <c r="G94" s="15"/>
      <c r="H94" s="15"/>
      <c r="I94" s="14"/>
      <c r="M94" s="29"/>
    </row>
    <row r="95" spans="1:13" ht="35" customHeight="1">
      <c r="A95" s="50" t="s">
        <v>138</v>
      </c>
      <c r="B95" s="11" t="s">
        <v>139</v>
      </c>
      <c r="C95" s="11" t="s">
        <v>14</v>
      </c>
      <c r="D95" s="15"/>
      <c r="E95" s="15"/>
      <c r="F95" s="15"/>
      <c r="G95" s="15"/>
      <c r="H95" s="15"/>
      <c r="I95" s="14"/>
      <c r="M95" s="29"/>
    </row>
    <row r="96" spans="1:13" ht="35" customHeight="1">
      <c r="A96" s="50" t="s">
        <v>140</v>
      </c>
      <c r="B96" s="11" t="s">
        <v>141</v>
      </c>
      <c r="C96" s="11" t="s">
        <v>14</v>
      </c>
      <c r="D96" s="15"/>
      <c r="E96" s="15"/>
      <c r="F96" s="15"/>
      <c r="G96" s="15"/>
      <c r="H96" s="15"/>
      <c r="I96" s="14"/>
      <c r="M96" s="29"/>
    </row>
    <row r="97" spans="1:13" ht="35" customHeight="1">
      <c r="A97" s="50" t="s">
        <v>142</v>
      </c>
      <c r="B97" s="11" t="s">
        <v>143</v>
      </c>
      <c r="C97" s="11" t="s">
        <v>14</v>
      </c>
      <c r="D97" s="15"/>
      <c r="E97" s="15"/>
      <c r="F97" s="15"/>
      <c r="G97" s="15"/>
      <c r="H97" s="15"/>
      <c r="I97" s="14"/>
      <c r="M97" s="29"/>
    </row>
    <row r="98" spans="1:13" ht="28" customHeight="1">
      <c r="A98" s="81" t="s">
        <v>145</v>
      </c>
      <c r="B98" s="82"/>
      <c r="C98" s="19" t="s">
        <v>6</v>
      </c>
      <c r="D98" s="20" t="s">
        <v>7</v>
      </c>
      <c r="E98" s="20" t="s">
        <v>8</v>
      </c>
      <c r="F98" s="20" t="s">
        <v>9</v>
      </c>
      <c r="G98" s="21" t="s">
        <v>10</v>
      </c>
      <c r="H98" s="20" t="s">
        <v>11</v>
      </c>
      <c r="I98" s="21" t="s">
        <v>1</v>
      </c>
      <c r="M98" s="29"/>
    </row>
    <row r="99" spans="1:13" ht="35" customHeight="1">
      <c r="A99" s="13" t="s">
        <v>146</v>
      </c>
      <c r="B99" s="32" t="s">
        <v>307</v>
      </c>
      <c r="C99" s="11" t="s">
        <v>14</v>
      </c>
      <c r="D99" s="15"/>
      <c r="E99" s="15"/>
      <c r="F99" s="15"/>
      <c r="G99" s="15"/>
      <c r="H99" s="15"/>
      <c r="I99" s="14"/>
      <c r="M99" s="29"/>
    </row>
    <row r="100" spans="1:13" ht="35" customHeight="1">
      <c r="A100" s="51" t="s">
        <v>278</v>
      </c>
      <c r="B100" s="17" t="s">
        <v>306</v>
      </c>
      <c r="C100" s="11" t="s">
        <v>14</v>
      </c>
      <c r="D100" s="15"/>
      <c r="E100" s="15"/>
      <c r="F100" s="15"/>
      <c r="G100" s="15"/>
      <c r="H100" s="15"/>
      <c r="I100" s="14"/>
      <c r="M100" s="29"/>
    </row>
    <row r="101" spans="1:13" ht="35" customHeight="1">
      <c r="A101" s="81" t="s">
        <v>147</v>
      </c>
      <c r="B101" s="82"/>
      <c r="C101" s="19" t="s">
        <v>6</v>
      </c>
      <c r="D101" s="20" t="s">
        <v>7</v>
      </c>
      <c r="E101" s="20" t="s">
        <v>8</v>
      </c>
      <c r="F101" s="20" t="s">
        <v>9</v>
      </c>
      <c r="G101" s="21" t="s">
        <v>10</v>
      </c>
      <c r="H101" s="20" t="s">
        <v>11</v>
      </c>
      <c r="I101" s="21" t="s">
        <v>1</v>
      </c>
      <c r="M101" s="29"/>
    </row>
    <row r="102" spans="1:13" ht="35" customHeight="1">
      <c r="A102" s="50" t="s">
        <v>148</v>
      </c>
      <c r="B102" s="11" t="s">
        <v>149</v>
      </c>
      <c r="C102" s="11" t="s">
        <v>14</v>
      </c>
      <c r="D102" s="12"/>
      <c r="E102" s="12"/>
      <c r="F102" s="12"/>
      <c r="G102" s="12"/>
      <c r="H102" s="12"/>
      <c r="I102" s="14"/>
      <c r="M102" s="29"/>
    </row>
    <row r="103" spans="1:13" ht="35" customHeight="1">
      <c r="A103" s="50" t="s">
        <v>150</v>
      </c>
      <c r="B103" s="11" t="s">
        <v>151</v>
      </c>
      <c r="C103" s="11" t="s">
        <v>14</v>
      </c>
      <c r="D103" s="12"/>
      <c r="E103" s="12"/>
      <c r="F103" s="12"/>
      <c r="G103" s="12"/>
      <c r="H103" s="12"/>
      <c r="I103" s="14"/>
      <c r="M103" s="29"/>
    </row>
    <row r="104" spans="1:13" ht="35" customHeight="1">
      <c r="A104" s="50" t="s">
        <v>152</v>
      </c>
      <c r="B104" s="11" t="s">
        <v>153</v>
      </c>
      <c r="C104" s="11" t="s">
        <v>28</v>
      </c>
      <c r="D104" s="12"/>
      <c r="E104" s="12"/>
      <c r="F104" s="12"/>
      <c r="G104" s="12"/>
      <c r="H104" s="12"/>
      <c r="I104" s="14"/>
      <c r="M104" s="29"/>
    </row>
    <row r="105" spans="1:13" ht="35" customHeight="1">
      <c r="A105" s="50" t="s">
        <v>154</v>
      </c>
      <c r="B105" s="11" t="s">
        <v>155</v>
      </c>
      <c r="C105" s="11" t="s">
        <v>72</v>
      </c>
      <c r="D105" s="12"/>
      <c r="E105" s="12"/>
      <c r="F105" s="12"/>
      <c r="G105" s="12"/>
      <c r="H105" s="12"/>
      <c r="I105" s="14"/>
      <c r="M105" s="29"/>
    </row>
    <row r="106" spans="1:13" ht="35" customHeight="1">
      <c r="A106" s="50" t="s">
        <v>156</v>
      </c>
      <c r="B106" s="11" t="s">
        <v>157</v>
      </c>
      <c r="C106" s="11" t="s">
        <v>72</v>
      </c>
      <c r="D106" s="12"/>
      <c r="E106" s="12"/>
      <c r="F106" s="12"/>
      <c r="G106" s="12"/>
      <c r="H106" s="12"/>
      <c r="I106" s="14"/>
      <c r="M106" s="29"/>
    </row>
    <row r="107" spans="1:13" ht="28" customHeight="1">
      <c r="A107" s="84" t="s">
        <v>158</v>
      </c>
      <c r="B107" s="85"/>
      <c r="C107" s="19" t="s">
        <v>6</v>
      </c>
      <c r="D107" s="20" t="s">
        <v>7</v>
      </c>
      <c r="E107" s="20" t="s">
        <v>8</v>
      </c>
      <c r="F107" s="20" t="s">
        <v>9</v>
      </c>
      <c r="G107" s="21" t="s">
        <v>10</v>
      </c>
      <c r="H107" s="20" t="s">
        <v>11</v>
      </c>
      <c r="I107" s="21" t="s">
        <v>1</v>
      </c>
      <c r="M107" s="29"/>
    </row>
    <row r="108" spans="1:13" ht="35" customHeight="1">
      <c r="A108" s="60" t="s">
        <v>268</v>
      </c>
      <c r="B108" s="60" t="s">
        <v>269</v>
      </c>
      <c r="C108" s="11" t="s">
        <v>28</v>
      </c>
      <c r="D108" s="18"/>
      <c r="E108" s="18"/>
      <c r="F108" s="18"/>
      <c r="G108" s="18"/>
      <c r="H108" s="18"/>
      <c r="I108" s="18"/>
    </row>
    <row r="109" spans="1:13" ht="35" customHeight="1">
      <c r="A109" s="54" t="s">
        <v>159</v>
      </c>
      <c r="B109" s="25" t="s">
        <v>160</v>
      </c>
      <c r="C109" s="25" t="s">
        <v>28</v>
      </c>
      <c r="D109" s="26"/>
      <c r="E109" s="26"/>
      <c r="F109" s="26"/>
      <c r="G109" s="26"/>
      <c r="H109" s="26"/>
      <c r="I109" s="14"/>
      <c r="M109" s="29"/>
    </row>
    <row r="110" spans="1:13" ht="35" customHeight="1">
      <c r="A110" s="54" t="s">
        <v>161</v>
      </c>
      <c r="B110" s="25" t="s">
        <v>162</v>
      </c>
      <c r="C110" s="25" t="s">
        <v>28</v>
      </c>
      <c r="D110" s="26"/>
      <c r="E110" s="26"/>
      <c r="F110" s="26"/>
      <c r="G110" s="26"/>
      <c r="H110" s="26"/>
      <c r="I110" s="14"/>
      <c r="M110" s="29"/>
    </row>
    <row r="111" spans="1:13" ht="35" customHeight="1">
      <c r="A111" s="54" t="s">
        <v>163</v>
      </c>
      <c r="B111" s="25" t="s">
        <v>164</v>
      </c>
      <c r="C111" s="25" t="s">
        <v>28</v>
      </c>
      <c r="D111" s="26"/>
      <c r="E111" s="26"/>
      <c r="F111" s="26"/>
      <c r="G111" s="26"/>
      <c r="H111" s="26"/>
      <c r="I111" s="14"/>
      <c r="M111" s="29"/>
    </row>
    <row r="112" spans="1:13" ht="35" customHeight="1">
      <c r="A112" s="54" t="s">
        <v>165</v>
      </c>
      <c r="B112" s="25" t="s">
        <v>166</v>
      </c>
      <c r="C112" s="25" t="s">
        <v>34</v>
      </c>
      <c r="D112" s="26"/>
      <c r="E112" s="26"/>
      <c r="F112" s="26"/>
      <c r="G112" s="26"/>
      <c r="H112" s="26"/>
      <c r="M112" s="29"/>
    </row>
    <row r="113" spans="1:13" ht="35" customHeight="1">
      <c r="A113" s="54" t="s">
        <v>167</v>
      </c>
      <c r="B113" s="25" t="s">
        <v>168</v>
      </c>
      <c r="C113" s="25" t="s">
        <v>72</v>
      </c>
      <c r="D113" s="26"/>
      <c r="E113" s="26"/>
      <c r="F113" s="26"/>
      <c r="G113" s="26"/>
      <c r="H113" s="26"/>
      <c r="I113" s="14"/>
      <c r="M113" s="29"/>
    </row>
    <row r="114" spans="1:13" ht="35" customHeight="1">
      <c r="A114" s="54" t="s">
        <v>169</v>
      </c>
      <c r="B114" s="25" t="s">
        <v>170</v>
      </c>
      <c r="C114" s="25" t="s">
        <v>45</v>
      </c>
      <c r="D114" s="26"/>
      <c r="E114" s="26"/>
      <c r="F114" s="26"/>
      <c r="G114" s="26"/>
      <c r="H114" s="26"/>
      <c r="I114" s="14"/>
      <c r="M114" s="29"/>
    </row>
    <row r="115" spans="1:13" ht="35" customHeight="1">
      <c r="A115" s="51" t="s">
        <v>171</v>
      </c>
      <c r="B115" s="33" t="s">
        <v>172</v>
      </c>
      <c r="C115" s="11" t="s">
        <v>14</v>
      </c>
      <c r="D115" s="12"/>
      <c r="E115" s="12"/>
      <c r="F115" s="12"/>
      <c r="G115" s="12"/>
      <c r="H115" s="12"/>
      <c r="I115" s="14"/>
      <c r="M115" s="29"/>
    </row>
    <row r="116" spans="1:13" ht="35" customHeight="1">
      <c r="A116" s="50" t="s">
        <v>173</v>
      </c>
      <c r="B116" s="17" t="s">
        <v>174</v>
      </c>
      <c r="C116" s="11" t="s">
        <v>14</v>
      </c>
      <c r="D116" s="12"/>
      <c r="E116" s="12"/>
      <c r="F116" s="12"/>
      <c r="G116" s="12"/>
      <c r="H116" s="12"/>
      <c r="I116" s="14"/>
      <c r="M116" s="29"/>
    </row>
    <row r="117" spans="1:13" ht="35" customHeight="1">
      <c r="A117" s="50" t="s">
        <v>175</v>
      </c>
      <c r="B117" s="17" t="s">
        <v>176</v>
      </c>
      <c r="C117" s="11" t="s">
        <v>14</v>
      </c>
      <c r="D117" s="12"/>
      <c r="E117" s="12"/>
      <c r="F117" s="12"/>
      <c r="G117" s="12"/>
      <c r="H117" s="12"/>
      <c r="I117" s="14"/>
      <c r="M117" s="29"/>
    </row>
    <row r="118" spans="1:13" ht="35" customHeight="1">
      <c r="A118" s="50" t="s">
        <v>326</v>
      </c>
      <c r="B118" s="17" t="s">
        <v>327</v>
      </c>
      <c r="C118" s="11" t="s">
        <v>14</v>
      </c>
      <c r="D118" s="12"/>
      <c r="E118" s="12"/>
      <c r="F118" s="12"/>
      <c r="G118" s="12"/>
      <c r="H118" s="12"/>
      <c r="I118" s="14"/>
    </row>
    <row r="119" spans="1:13" ht="35" customHeight="1">
      <c r="A119" s="50" t="s">
        <v>177</v>
      </c>
      <c r="B119" s="17" t="s">
        <v>178</v>
      </c>
      <c r="C119" s="11" t="s">
        <v>14</v>
      </c>
      <c r="D119" s="12"/>
      <c r="E119" s="12"/>
      <c r="F119" s="12"/>
      <c r="G119" s="12"/>
      <c r="H119" s="12"/>
      <c r="I119" s="14"/>
      <c r="M119" s="29"/>
    </row>
    <row r="120" spans="1:13" ht="35" customHeight="1">
      <c r="A120" s="50" t="s">
        <v>179</v>
      </c>
      <c r="B120" s="34" t="s">
        <v>180</v>
      </c>
      <c r="C120" s="11" t="s">
        <v>14</v>
      </c>
      <c r="D120" s="12"/>
      <c r="E120" s="12"/>
      <c r="F120" s="12"/>
      <c r="G120" s="12"/>
      <c r="H120" s="12"/>
      <c r="I120" s="14"/>
    </row>
    <row r="121" spans="1:13" ht="35" customHeight="1">
      <c r="A121" s="51" t="s">
        <v>181</v>
      </c>
      <c r="B121" s="13" t="s">
        <v>182</v>
      </c>
      <c r="C121" s="11" t="s">
        <v>14</v>
      </c>
      <c r="D121" s="12"/>
      <c r="E121" s="12"/>
      <c r="F121" s="12"/>
      <c r="G121" s="12"/>
      <c r="H121" s="12"/>
      <c r="I121" s="14"/>
    </row>
    <row r="122" spans="1:13" ht="35" customHeight="1">
      <c r="A122" s="51" t="s">
        <v>183</v>
      </c>
      <c r="B122" s="13" t="s">
        <v>184</v>
      </c>
      <c r="C122" s="11" t="s">
        <v>14</v>
      </c>
      <c r="D122" s="12"/>
      <c r="E122" s="12"/>
      <c r="F122" s="12"/>
      <c r="G122" s="12"/>
      <c r="H122" s="12"/>
      <c r="I122" s="14"/>
    </row>
    <row r="123" spans="1:13" ht="35" customHeight="1">
      <c r="A123" s="51" t="s">
        <v>185</v>
      </c>
      <c r="B123" s="13" t="s">
        <v>186</v>
      </c>
      <c r="C123" s="11" t="s">
        <v>14</v>
      </c>
      <c r="D123" s="12"/>
      <c r="E123" s="12"/>
      <c r="F123" s="12"/>
      <c r="G123" s="12"/>
      <c r="H123" s="12"/>
      <c r="I123" s="14"/>
    </row>
    <row r="124" spans="1:13" ht="35" customHeight="1">
      <c r="A124" s="14" t="s">
        <v>336</v>
      </c>
      <c r="B124" s="14" t="s">
        <v>337</v>
      </c>
      <c r="C124" s="11" t="s">
        <v>14</v>
      </c>
      <c r="D124" s="76"/>
      <c r="E124" s="76"/>
      <c r="F124" s="76"/>
      <c r="G124" s="76"/>
      <c r="H124" s="76"/>
      <c r="I124" s="76"/>
    </row>
    <row r="125" spans="1:13" ht="35" customHeight="1">
      <c r="A125" s="74"/>
      <c r="B125" s="75"/>
      <c r="C125" s="70"/>
      <c r="D125" s="75"/>
      <c r="E125" s="75"/>
      <c r="F125" s="75"/>
      <c r="G125" s="75"/>
      <c r="H125" s="75"/>
      <c r="I125" s="75"/>
    </row>
    <row r="126" spans="1:13" ht="28" customHeight="1">
      <c r="A126" s="79" t="s">
        <v>31</v>
      </c>
      <c r="B126" s="80"/>
      <c r="C126" s="19" t="s">
        <v>6</v>
      </c>
      <c r="D126" s="20" t="s">
        <v>7</v>
      </c>
      <c r="E126" s="20" t="s">
        <v>8</v>
      </c>
      <c r="F126" s="20" t="s">
        <v>9</v>
      </c>
      <c r="G126" s="21" t="s">
        <v>10</v>
      </c>
      <c r="H126" s="20" t="s">
        <v>11</v>
      </c>
      <c r="I126" s="21" t="s">
        <v>1</v>
      </c>
    </row>
    <row r="127" spans="1:13" ht="35" customHeight="1">
      <c r="A127" s="11" t="s">
        <v>187</v>
      </c>
      <c r="B127" s="11" t="s">
        <v>188</v>
      </c>
      <c r="C127" s="11" t="s">
        <v>28</v>
      </c>
      <c r="D127" s="12"/>
      <c r="E127" s="12"/>
      <c r="F127" s="12"/>
      <c r="G127" s="12"/>
      <c r="H127" s="12"/>
      <c r="I127" s="12"/>
    </row>
    <row r="128" spans="1:13" ht="35" customHeight="1">
      <c r="A128" s="11" t="s">
        <v>189</v>
      </c>
      <c r="B128" s="11" t="s">
        <v>339</v>
      </c>
      <c r="C128" s="11" t="s">
        <v>14</v>
      </c>
      <c r="D128" s="12"/>
      <c r="E128" s="12"/>
      <c r="F128" s="12"/>
      <c r="G128" s="12"/>
      <c r="H128" s="12"/>
      <c r="I128" s="12"/>
    </row>
    <row r="129" spans="1:9" ht="35" customHeight="1">
      <c r="A129" s="11" t="s">
        <v>190</v>
      </c>
      <c r="B129" s="11" t="s">
        <v>191</v>
      </c>
      <c r="C129" s="11" t="s">
        <v>28</v>
      </c>
      <c r="D129" s="12"/>
      <c r="E129" s="12"/>
      <c r="F129" s="12"/>
      <c r="G129" s="12"/>
      <c r="H129" s="12"/>
      <c r="I129" s="12"/>
    </row>
    <row r="130" spans="1:9" ht="35" customHeight="1">
      <c r="A130" s="50" t="s">
        <v>192</v>
      </c>
      <c r="B130" s="11" t="s">
        <v>338</v>
      </c>
      <c r="C130" s="11" t="s">
        <v>28</v>
      </c>
      <c r="D130" s="12"/>
      <c r="E130" s="12"/>
      <c r="F130" s="12"/>
      <c r="G130" s="12"/>
      <c r="H130" s="12"/>
      <c r="I130" s="14"/>
    </row>
    <row r="131" spans="1:9" ht="35" customHeight="1">
      <c r="A131" s="11" t="s">
        <v>193</v>
      </c>
      <c r="B131" s="11" t="s">
        <v>194</v>
      </c>
      <c r="C131" s="11" t="s">
        <v>72</v>
      </c>
      <c r="D131" s="12"/>
      <c r="E131" s="12"/>
      <c r="F131" s="12"/>
      <c r="G131" s="12"/>
      <c r="H131" s="12"/>
      <c r="I131" s="12"/>
    </row>
    <row r="132" spans="1:9" ht="35" customHeight="1">
      <c r="A132" s="11" t="s">
        <v>195</v>
      </c>
      <c r="B132" s="11" t="s">
        <v>196</v>
      </c>
      <c r="C132" s="11" t="s">
        <v>28</v>
      </c>
      <c r="D132" s="12"/>
      <c r="E132" s="12"/>
      <c r="F132" s="12"/>
      <c r="G132" s="12"/>
      <c r="H132" s="12"/>
      <c r="I132" s="12"/>
    </row>
    <row r="133" spans="1:9" ht="35" customHeight="1">
      <c r="A133" s="11" t="s">
        <v>197</v>
      </c>
      <c r="B133" s="11" t="s">
        <v>198</v>
      </c>
      <c r="C133" s="11" t="s">
        <v>28</v>
      </c>
      <c r="D133" s="12"/>
      <c r="E133" s="12"/>
      <c r="F133" s="12"/>
      <c r="G133" s="12"/>
      <c r="H133" s="12"/>
      <c r="I133" s="12"/>
    </row>
    <row r="134" spans="1:9" s="3" customFormat="1" ht="35" customHeight="1">
      <c r="A134" s="35" t="s">
        <v>199</v>
      </c>
      <c r="B134" s="35" t="s">
        <v>200</v>
      </c>
      <c r="C134" s="35" t="s">
        <v>28</v>
      </c>
      <c r="D134" s="36"/>
      <c r="E134" s="36"/>
      <c r="F134" s="36"/>
      <c r="G134" s="36"/>
      <c r="H134" s="36"/>
      <c r="I134" s="36"/>
    </row>
    <row r="135" spans="1:9" s="3" customFormat="1" ht="35" customHeight="1">
      <c r="A135" s="56" t="s">
        <v>201</v>
      </c>
      <c r="B135" s="64" t="s">
        <v>202</v>
      </c>
      <c r="C135" s="35" t="s">
        <v>28</v>
      </c>
      <c r="D135" s="37"/>
      <c r="E135" s="37"/>
      <c r="F135" s="37"/>
      <c r="G135" s="37"/>
      <c r="H135" s="37"/>
      <c r="I135" s="36"/>
    </row>
    <row r="136" spans="1:9" s="3" customFormat="1" ht="35" customHeight="1">
      <c r="A136" s="56" t="s">
        <v>328</v>
      </c>
      <c r="B136" s="64" t="s">
        <v>279</v>
      </c>
      <c r="C136" s="35" t="s">
        <v>28</v>
      </c>
      <c r="D136" s="62"/>
      <c r="E136" s="62"/>
      <c r="F136" s="62"/>
      <c r="G136" s="62"/>
      <c r="H136" s="62"/>
      <c r="I136" s="63"/>
    </row>
    <row r="137" spans="1:9" ht="35" customHeight="1">
      <c r="A137" s="79" t="s">
        <v>116</v>
      </c>
      <c r="B137" s="80"/>
      <c r="C137" s="19" t="s">
        <v>6</v>
      </c>
      <c r="D137" s="20" t="s">
        <v>7</v>
      </c>
      <c r="E137" s="20" t="s">
        <v>8</v>
      </c>
      <c r="F137" s="20" t="s">
        <v>9</v>
      </c>
      <c r="G137" s="21" t="s">
        <v>10</v>
      </c>
      <c r="H137" s="20" t="s">
        <v>11</v>
      </c>
      <c r="I137" s="21" t="s">
        <v>1</v>
      </c>
    </row>
    <row r="138" spans="1:9" s="3" customFormat="1" ht="35" customHeight="1">
      <c r="A138" s="35" t="s">
        <v>203</v>
      </c>
      <c r="B138" s="35" t="s">
        <v>204</v>
      </c>
      <c r="C138" s="35" t="s">
        <v>28</v>
      </c>
      <c r="D138" s="38"/>
      <c r="E138" s="38"/>
      <c r="F138" s="38"/>
      <c r="G138" s="38"/>
      <c r="H138" s="38"/>
      <c r="I138" s="36"/>
    </row>
    <row r="139" spans="1:9" s="3" customFormat="1" ht="35" customHeight="1">
      <c r="A139" s="56" t="s">
        <v>205</v>
      </c>
      <c r="B139" s="35" t="s">
        <v>206</v>
      </c>
      <c r="C139" s="35" t="s">
        <v>28</v>
      </c>
      <c r="D139" s="38"/>
      <c r="E139" s="38"/>
      <c r="F139" s="38"/>
      <c r="G139" s="38"/>
      <c r="H139" s="38"/>
      <c r="I139" s="36"/>
    </row>
    <row r="140" spans="1:9" s="3" customFormat="1" ht="35" customHeight="1">
      <c r="A140" s="35" t="s">
        <v>207</v>
      </c>
      <c r="B140" s="35" t="s">
        <v>208</v>
      </c>
      <c r="C140" s="35" t="s">
        <v>28</v>
      </c>
      <c r="D140" s="38"/>
      <c r="E140" s="38"/>
      <c r="F140" s="38"/>
      <c r="G140" s="38"/>
      <c r="H140" s="38"/>
      <c r="I140" s="36"/>
    </row>
    <row r="141" spans="1:9" s="3" customFormat="1" ht="35" customHeight="1">
      <c r="A141" s="35" t="s">
        <v>209</v>
      </c>
      <c r="B141" s="35" t="s">
        <v>210</v>
      </c>
      <c r="C141" s="35" t="s">
        <v>28</v>
      </c>
      <c r="D141" s="38"/>
      <c r="E141" s="38"/>
      <c r="F141" s="38"/>
      <c r="G141" s="38"/>
      <c r="H141" s="38"/>
      <c r="I141" s="36"/>
    </row>
    <row r="142" spans="1:9" s="3" customFormat="1" ht="35" customHeight="1">
      <c r="A142" s="56" t="s">
        <v>211</v>
      </c>
      <c r="B142" s="35" t="s">
        <v>212</v>
      </c>
      <c r="C142" s="35" t="s">
        <v>14</v>
      </c>
      <c r="D142" s="38"/>
      <c r="E142" s="38"/>
      <c r="F142" s="38"/>
      <c r="G142" s="38"/>
      <c r="H142" s="38"/>
      <c r="I142" s="36"/>
    </row>
    <row r="143" spans="1:9" s="3" customFormat="1" ht="35" customHeight="1">
      <c r="A143" s="35" t="s">
        <v>213</v>
      </c>
      <c r="B143" s="35" t="s">
        <v>214</v>
      </c>
      <c r="C143" s="35" t="s">
        <v>72</v>
      </c>
      <c r="D143" s="38"/>
      <c r="E143" s="38"/>
      <c r="F143" s="38"/>
      <c r="G143" s="38"/>
      <c r="H143" s="38"/>
      <c r="I143" s="36"/>
    </row>
    <row r="144" spans="1:9" s="3" customFormat="1" ht="35" customHeight="1">
      <c r="A144" s="35" t="s">
        <v>215</v>
      </c>
      <c r="B144" s="35" t="s">
        <v>216</v>
      </c>
      <c r="C144" s="35" t="s">
        <v>14</v>
      </c>
      <c r="D144" s="38"/>
      <c r="E144" s="38"/>
      <c r="F144" s="38"/>
      <c r="G144" s="38"/>
      <c r="H144" s="38"/>
      <c r="I144" s="36"/>
    </row>
    <row r="145" spans="1:9" s="3" customFormat="1" ht="35" customHeight="1">
      <c r="A145" s="35" t="s">
        <v>217</v>
      </c>
      <c r="B145" s="35" t="s">
        <v>218</v>
      </c>
      <c r="C145" s="35" t="s">
        <v>14</v>
      </c>
      <c r="D145" s="38"/>
      <c r="E145" s="38"/>
      <c r="F145" s="38"/>
      <c r="G145" s="38"/>
      <c r="H145" s="38"/>
      <c r="I145" s="36"/>
    </row>
    <row r="146" spans="1:9" s="3" customFormat="1" ht="35" customHeight="1">
      <c r="A146" s="56" t="s">
        <v>219</v>
      </c>
      <c r="B146" s="35" t="s">
        <v>220</v>
      </c>
      <c r="C146" s="35" t="s">
        <v>28</v>
      </c>
      <c r="D146" s="38"/>
      <c r="E146" s="38"/>
      <c r="F146" s="38"/>
      <c r="G146" s="38"/>
      <c r="H146" s="38"/>
      <c r="I146" s="36"/>
    </row>
    <row r="147" spans="1:9" s="3" customFormat="1" ht="35" customHeight="1">
      <c r="A147" s="56" t="s">
        <v>221</v>
      </c>
      <c r="B147" s="35" t="s">
        <v>222</v>
      </c>
      <c r="C147" s="35" t="s">
        <v>34</v>
      </c>
      <c r="D147" s="38"/>
      <c r="E147" s="38"/>
      <c r="F147" s="38"/>
      <c r="G147" s="38"/>
      <c r="H147" s="38"/>
      <c r="I147" s="36"/>
    </row>
    <row r="148" spans="1:9" s="3" customFormat="1" ht="35" customHeight="1">
      <c r="A148" s="56" t="s">
        <v>223</v>
      </c>
      <c r="B148" s="35" t="s">
        <v>224</v>
      </c>
      <c r="C148" s="35" t="s">
        <v>14</v>
      </c>
      <c r="D148" s="38"/>
      <c r="E148" s="38"/>
      <c r="F148" s="38"/>
      <c r="G148" s="38"/>
      <c r="H148" s="38"/>
      <c r="I148" s="36"/>
    </row>
    <row r="149" spans="1:9" s="3" customFormat="1" ht="35" customHeight="1">
      <c r="A149" s="56" t="s">
        <v>225</v>
      </c>
      <c r="B149" s="35" t="s">
        <v>226</v>
      </c>
      <c r="C149" s="35" t="s">
        <v>14</v>
      </c>
      <c r="D149" s="38"/>
      <c r="E149" s="38"/>
      <c r="F149" s="38"/>
      <c r="G149" s="38"/>
      <c r="H149" s="38"/>
      <c r="I149" s="36"/>
    </row>
    <row r="150" spans="1:9" s="3" customFormat="1" ht="35" customHeight="1">
      <c r="A150" s="56" t="s">
        <v>227</v>
      </c>
      <c r="B150" s="35" t="s">
        <v>228</v>
      </c>
      <c r="C150" s="35" t="s">
        <v>28</v>
      </c>
      <c r="D150" s="36"/>
      <c r="E150" s="36"/>
      <c r="F150" s="36"/>
      <c r="G150" s="36"/>
      <c r="H150" s="36"/>
      <c r="I150" s="36"/>
    </row>
    <row r="151" spans="1:9" s="3" customFormat="1" ht="35" customHeight="1">
      <c r="A151" s="56" t="s">
        <v>229</v>
      </c>
      <c r="B151" s="35" t="s">
        <v>230</v>
      </c>
      <c r="C151" s="35" t="s">
        <v>28</v>
      </c>
      <c r="D151" s="36"/>
      <c r="E151" s="36"/>
      <c r="F151" s="36"/>
      <c r="G151" s="36"/>
      <c r="H151" s="36"/>
      <c r="I151" s="36"/>
    </row>
    <row r="152" spans="1:9" s="3" customFormat="1" ht="35" customHeight="1">
      <c r="A152" s="56" t="s">
        <v>231</v>
      </c>
      <c r="B152" s="35" t="s">
        <v>232</v>
      </c>
      <c r="C152" s="35" t="s">
        <v>28</v>
      </c>
      <c r="D152" s="36"/>
      <c r="E152" s="36"/>
      <c r="F152" s="36"/>
      <c r="G152" s="36"/>
      <c r="H152" s="36"/>
      <c r="I152" s="36"/>
    </row>
    <row r="153" spans="1:9" s="4" customFormat="1" ht="35" customHeight="1">
      <c r="A153" s="56" t="s">
        <v>233</v>
      </c>
      <c r="B153" s="35" t="s">
        <v>234</v>
      </c>
      <c r="C153" s="35" t="s">
        <v>28</v>
      </c>
      <c r="D153" s="36"/>
      <c r="E153" s="36"/>
      <c r="F153" s="36"/>
      <c r="G153" s="36"/>
      <c r="H153" s="36"/>
      <c r="I153" s="36"/>
    </row>
    <row r="154" spans="1:9" s="3" customFormat="1" ht="35" customHeight="1">
      <c r="A154" s="56" t="s">
        <v>235</v>
      </c>
      <c r="B154" s="39" t="s">
        <v>236</v>
      </c>
      <c r="C154" s="35" t="s">
        <v>14</v>
      </c>
      <c r="D154" s="36"/>
      <c r="E154" s="36"/>
      <c r="F154" s="36"/>
      <c r="G154" s="36"/>
      <c r="H154" s="36"/>
      <c r="I154" s="36"/>
    </row>
    <row r="155" spans="1:9" s="3" customFormat="1" ht="35" customHeight="1">
      <c r="A155" s="35" t="s">
        <v>237</v>
      </c>
      <c r="B155" s="39" t="s">
        <v>238</v>
      </c>
      <c r="C155" s="35" t="s">
        <v>14</v>
      </c>
      <c r="D155" s="36"/>
      <c r="E155" s="36"/>
      <c r="F155" s="36"/>
      <c r="G155" s="36"/>
      <c r="H155" s="36"/>
      <c r="I155" s="36"/>
    </row>
    <row r="156" spans="1:9" ht="35" customHeight="1">
      <c r="A156" s="50" t="s">
        <v>239</v>
      </c>
      <c r="B156" s="11" t="s">
        <v>240</v>
      </c>
      <c r="C156" s="11" t="s">
        <v>72</v>
      </c>
      <c r="D156" s="12"/>
      <c r="E156" s="12"/>
      <c r="F156" s="12"/>
      <c r="G156" s="12"/>
      <c r="H156" s="12"/>
      <c r="I156" s="12"/>
    </row>
    <row r="157" spans="1:9">
      <c r="A157" s="50" t="s">
        <v>241</v>
      </c>
      <c r="B157" s="11" t="s">
        <v>242</v>
      </c>
      <c r="C157" s="11" t="s">
        <v>243</v>
      </c>
      <c r="D157" s="12"/>
      <c r="E157" s="12"/>
      <c r="F157" s="12"/>
      <c r="G157" s="12"/>
      <c r="H157" s="12"/>
      <c r="I157" s="12"/>
    </row>
    <row r="158" spans="1:9">
      <c r="A158" s="40"/>
      <c r="B158" s="41"/>
      <c r="C158" s="40"/>
      <c r="D158" s="42"/>
      <c r="E158" s="42"/>
      <c r="F158" s="43"/>
      <c r="G158" s="43"/>
      <c r="H158" s="43"/>
      <c r="I158" s="43"/>
    </row>
    <row r="160" spans="1:9">
      <c r="A160" s="44"/>
      <c r="B160" s="45"/>
      <c r="C160" s="83"/>
      <c r="D160" s="83"/>
      <c r="E160" s="44"/>
      <c r="F160" s="46"/>
      <c r="G160" s="47"/>
      <c r="H160" s="47"/>
      <c r="I160" s="47"/>
    </row>
    <row r="161" spans="7:9">
      <c r="G161" s="47"/>
      <c r="H161" s="47"/>
      <c r="I161" s="47"/>
    </row>
    <row r="162" spans="7:9">
      <c r="G162" s="47"/>
      <c r="H162" s="47"/>
      <c r="I162" s="47"/>
    </row>
  </sheetData>
  <mergeCells count="19">
    <mergeCell ref="A1:I1"/>
    <mergeCell ref="A2:I2"/>
    <mergeCell ref="A5:I5"/>
    <mergeCell ref="A3:I3"/>
    <mergeCell ref="A19:B19"/>
    <mergeCell ref="A24:B24"/>
    <mergeCell ref="A33:B33"/>
    <mergeCell ref="A50:B50"/>
    <mergeCell ref="A59:B59"/>
    <mergeCell ref="A65:B65"/>
    <mergeCell ref="A69:B69"/>
    <mergeCell ref="A79:B79"/>
    <mergeCell ref="A82:B82"/>
    <mergeCell ref="A98:B98"/>
    <mergeCell ref="C160:D160"/>
    <mergeCell ref="A101:B101"/>
    <mergeCell ref="A107:B107"/>
    <mergeCell ref="A126:B126"/>
    <mergeCell ref="A137:B137"/>
  </mergeCells>
  <printOptions horizontalCentered="1"/>
  <pageMargins left="0.5" right="0.5" top="0.5" bottom="0.5" header="0" footer="0"/>
  <pageSetup paperSize="9" scale="3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Sheet3.ClearTFOutWithExceptions">
                <anchor moveWithCells="1" sizeWithCells="1">
                  <from>
                    <xdr:col>7</xdr:col>
                    <xdr:colOff>25400</xdr:colOff>
                    <xdr:row>0</xdr:row>
                    <xdr:rowOff>50800</xdr:rowOff>
                  </from>
                  <to>
                    <xdr:col>7</xdr:col>
                    <xdr:colOff>1879600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Sheet3.ClearEndingWithExceptions">
                <anchor moveWithCells="1" sizeWithCells="1">
                  <from>
                    <xdr:col>8</xdr:col>
                    <xdr:colOff>50800</xdr:colOff>
                    <xdr:row>0</xdr:row>
                    <xdr:rowOff>25400</xdr:rowOff>
                  </from>
                  <to>
                    <xdr:col>8</xdr:col>
                    <xdr:colOff>1905000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6"/>
  <sheetViews>
    <sheetView zoomScale="192" workbookViewId="0">
      <selection activeCell="A16" sqref="A16"/>
    </sheetView>
  </sheetViews>
  <sheetFormatPr baseColWidth="10" defaultColWidth="11" defaultRowHeight="15"/>
  <cols>
    <col min="2" max="2" width="30.83203125" bestFit="1" customWidth="1"/>
  </cols>
  <sheetData>
    <row r="1" spans="1:2">
      <c r="A1" s="58" t="s">
        <v>254</v>
      </c>
      <c r="B1" s="1" t="s">
        <v>255</v>
      </c>
    </row>
    <row r="2" spans="1:2">
      <c r="A2" s="1" t="s">
        <v>256</v>
      </c>
      <c r="B2" s="1" t="s">
        <v>257</v>
      </c>
    </row>
    <row r="3" spans="1:2">
      <c r="A3" s="1" t="s">
        <v>321</v>
      </c>
      <c r="B3" s="1" t="s">
        <v>245</v>
      </c>
    </row>
    <row r="4" spans="1:2">
      <c r="A4" s="1" t="s">
        <v>246</v>
      </c>
      <c r="B4" s="1" t="s">
        <v>247</v>
      </c>
    </row>
    <row r="5" spans="1:2">
      <c r="A5" s="1" t="s">
        <v>323</v>
      </c>
      <c r="B5" s="1" t="s">
        <v>249</v>
      </c>
    </row>
    <row r="6" spans="1:2">
      <c r="A6" s="1" t="s">
        <v>322</v>
      </c>
      <c r="B6" s="1" t="s">
        <v>250</v>
      </c>
    </row>
    <row r="7" spans="1:2">
      <c r="A7" s="1" t="s">
        <v>318</v>
      </c>
      <c r="B7" s="1" t="s">
        <v>251</v>
      </c>
    </row>
    <row r="8" spans="1:2">
      <c r="A8" s="1" t="s">
        <v>319</v>
      </c>
      <c r="B8" s="1" t="s">
        <v>252</v>
      </c>
    </row>
    <row r="9" spans="1:2">
      <c r="A9" s="1" t="s">
        <v>320</v>
      </c>
      <c r="B9" s="1" t="s">
        <v>253</v>
      </c>
    </row>
    <row r="10" spans="1:2">
      <c r="A10" s="1" t="s">
        <v>258</v>
      </c>
      <c r="B10" s="1" t="s">
        <v>259</v>
      </c>
    </row>
    <row r="11" spans="1:2">
      <c r="A11" s="1" t="s">
        <v>316</v>
      </c>
      <c r="B11" s="1" t="s">
        <v>244</v>
      </c>
    </row>
    <row r="12" spans="1:2">
      <c r="A12" s="1" t="s">
        <v>281</v>
      </c>
      <c r="B12" s="1" t="s">
        <v>280</v>
      </c>
    </row>
    <row r="13" spans="1:2">
      <c r="A13" s="1" t="s">
        <v>283</v>
      </c>
      <c r="B13" t="s">
        <v>282</v>
      </c>
    </row>
    <row r="14" spans="1:2">
      <c r="A14" s="1" t="s">
        <v>285</v>
      </c>
      <c r="B14" t="s">
        <v>284</v>
      </c>
    </row>
    <row r="15" spans="1:2">
      <c r="A15" s="1" t="s">
        <v>317</v>
      </c>
      <c r="B15" t="s">
        <v>248</v>
      </c>
    </row>
    <row r="16" spans="1:2">
      <c r="A16" s="1" t="s">
        <v>332</v>
      </c>
      <c r="B16" s="1" t="s">
        <v>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CSV</vt:lpstr>
      <vt:lpstr>TF</vt:lpstr>
      <vt:lpstr>WO</vt:lpstr>
      <vt:lpstr>BAR</vt:lpstr>
      <vt:lpstr>StoreShort</vt:lpstr>
      <vt:lpstr>BAR!Print_Area</vt:lpstr>
      <vt:lpstr>BAR!Print_Titles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Anh Pham Thi Hoang</dc:creator>
  <cp:lastModifiedBy>Nguyễn Tiến Thiện Thành</cp:lastModifiedBy>
  <cp:lastPrinted>2024-06-29T02:52:00Z</cp:lastPrinted>
  <dcterms:created xsi:type="dcterms:W3CDTF">2018-11-04T04:48:00Z</dcterms:created>
  <dcterms:modified xsi:type="dcterms:W3CDTF">2025-04-19T07:16:40Z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1033-12.2.0.19805</vt:lpwstr>
  </property>
  <property fmtid="{D5CDD505-2E9C-101B-9397-08002B2CF9AE}" pid="3" name="ICV">
    <vt:lpwstr>0FE0F6CF44674A1F84FF864C39172BF7_12</vt:lpwstr>
  </property>
</Properties>
</file>